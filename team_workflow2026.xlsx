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How to 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444444"/>
      <sz val="11"/>
    </font>
    <font>
      <name val="Arial"/>
      <b val="1"/>
      <color rgb="00FFFFFF"/>
      <sz val="10"/>
    </font>
    <font>
      <name val="Arial"/>
      <b val="1"/>
      <color rgb="002E75B6"/>
      <sz val="22"/>
    </font>
    <font>
      <name val="Arial"/>
      <b val="1"/>
      <color rgb="0000B0A0"/>
      <sz val="22"/>
    </font>
    <font>
      <name val="Arial"/>
      <b val="1"/>
      <color rgb="0070AD47"/>
      <sz val="22"/>
    </font>
    <font>
      <name val="Arial"/>
      <b val="1"/>
      <color rgb="00FFFFFF"/>
      <sz val="11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6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00B0A0"/>
      </patternFill>
    </fill>
    <fill>
      <patternFill patternType="solid">
        <fgColor rgb="0070AD47"/>
      </patternFill>
    </fill>
    <fill>
      <patternFill patternType="solid">
        <fgColor rgb="00F2F2F2"/>
      </patternFill>
    </fill>
    <fill>
      <patternFill patternType="solid">
        <fgColor rgb="0088888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center" vertical="center"/>
    </xf>
    <xf numFmtId="9" fontId="10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9" fontId="10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pivotButton="0" quotePrefix="0" xfId="0"/>
    <xf numFmtId="0" fontId="10" fillId="8" borderId="1" pivotButton="0" quotePrefix="0" xfId="0"/>
    <xf numFmtId="0" fontId="11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vertical="center" wrapText="1" indent="1"/>
    </xf>
    <xf numFmtId="0" fontId="10" fillId="8" borderId="0" applyAlignment="1" pivotButton="0" quotePrefix="0" xfId="0">
      <alignment vertical="center" wrapText="1" indent="1"/>
    </xf>
    <xf numFmtId="0" fontId="7" fillId="6" borderId="0" applyAlignment="1" pivotButton="0" quotePrefix="0" xfId="0">
      <alignment vertical="center" wrapText="1" indent="1"/>
    </xf>
    <xf numFmtId="0" fontId="7" fillId="7" borderId="0" applyAlignment="1" pivotButton="0" quotePrefix="0" xfId="0">
      <alignment vertical="center" wrapText="1" indent="1"/>
    </xf>
    <xf numFmtId="0" fontId="7" fillId="9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M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11" customWidth="1" min="3" max="3"/>
    <col width="11" customWidth="1" min="4" max="4"/>
    <col width="11" customWidth="1" min="5" max="5"/>
    <col width="11" customWidth="1" min="6" max="6"/>
    <col width="8" customWidth="1" min="7" max="7"/>
    <col width="11" customWidth="1" min="8" max="8"/>
    <col width="13" customWidth="1" min="9" max="9"/>
  </cols>
  <sheetData>
    <row r="1" ht="45" customHeight="1">
      <c r="A1" s="1" t="inlineStr">
        <is>
          <t>PROJECT TASK TRACKER</t>
        </is>
      </c>
    </row>
    <row r="2" ht="22" customHeight="1">
      <c r="A2" s="2" t="inlineStr">
        <is>
          <t>Multi-Project Development Task Management</t>
        </is>
      </c>
    </row>
    <row r="3" ht="10" customHeight="1"/>
    <row r="4" ht="22" customHeight="1">
      <c r="B4" s="3" t="inlineStr">
        <is>
          <t>TOTAL PROJECTS</t>
        </is>
      </c>
      <c r="F4" s="4" t="inlineStr">
        <is>
          <t>TOTAL TASKS</t>
        </is>
      </c>
      <c r="J4" s="5" t="inlineStr">
        <is>
          <t>TASKS COMPLETED</t>
        </is>
      </c>
    </row>
    <row r="5" ht="22" customHeight="1"/>
    <row r="6" ht="22" customHeight="1">
      <c r="B6" s="6">
        <f>COUNTA(Projects!A2:A1000)</f>
        <v/>
      </c>
      <c r="F6" s="7">
        <f>COUNTA(Tasks!A2:A5000)</f>
        <v/>
      </c>
      <c r="J6" s="8">
        <f>COUNTIF(Tasks!G2:G5000,"Done")</f>
        <v/>
      </c>
    </row>
    <row r="7" ht="22" customHeight="1"/>
    <row r="8" ht="10" customHeight="1"/>
    <row r="9" ht="25" customHeight="1">
      <c r="A9" s="9" t="inlineStr">
        <is>
          <t>#</t>
        </is>
      </c>
      <c r="B9" s="9" t="inlineStr">
        <is>
          <t>Project Name</t>
        </is>
      </c>
      <c r="C9" s="9" t="inlineStr">
        <is>
          <t>Total Tasks</t>
        </is>
      </c>
      <c r="D9" s="9" t="inlineStr">
        <is>
          <t>Not Started</t>
        </is>
      </c>
      <c r="E9" s="9" t="inlineStr">
        <is>
          <t>In Progress</t>
        </is>
      </c>
      <c r="F9" s="9" t="inlineStr">
        <is>
          <t>In Review</t>
        </is>
      </c>
      <c r="G9" s="9" t="inlineStr">
        <is>
          <t>Done</t>
        </is>
      </c>
      <c r="H9" s="9" t="inlineStr">
        <is>
          <t>% Complete</t>
        </is>
      </c>
      <c r="I9" s="9" t="inlineStr">
        <is>
          <t>High Priority</t>
        </is>
      </c>
    </row>
    <row r="10" ht="18" customHeight="1">
      <c r="A10" s="10" t="n">
        <v>1</v>
      </c>
      <c r="B10" s="11">
        <f>IFERROR(INDEX(Projects!$A$2:$A$1000,1),"")</f>
        <v/>
      </c>
      <c r="C10" s="12">
        <f>IFERROR(COUNTIF(Tasks!$B$2:$B$5000,B10),"")</f>
        <v/>
      </c>
      <c r="D10" s="12">
        <f>IFERROR(COUNTIFS(Tasks!$B$2:$B$5000,B10,Tasks!$G$2:$G$5000,"Not Started"),"")</f>
        <v/>
      </c>
      <c r="E10" s="12">
        <f>IFERROR(COUNTIFS(Tasks!$B$2:$B$5000,B10,Tasks!$G$2:$G$5000,"In Progress"),"")</f>
        <v/>
      </c>
      <c r="F10" s="12">
        <f>IFERROR(COUNTIFS(Tasks!$B$2:$B$5000,B10,Tasks!$G$2:$G$5000,"In Review"),"")</f>
        <v/>
      </c>
      <c r="G10" s="12">
        <f>IFERROR(COUNTIFS(Tasks!$B$2:$B$5000,B10,Tasks!$G$2:$G$5000,"Done"),"")</f>
        <v/>
      </c>
      <c r="H10" s="12">
        <f>IFERROR(IF(C10=0,"",G10/C10),"")</f>
        <v/>
      </c>
      <c r="I10" s="13">
        <f>IFERROR(COUNTIFS(Tasks!$B$2:$B$5000,B10,Tasks!$F$2:$F$5000,"High"),"")</f>
        <v/>
      </c>
    </row>
    <row r="11" ht="18" customHeight="1">
      <c r="A11" s="10" t="n">
        <v>2</v>
      </c>
      <c r="B11" s="14">
        <f>IFERROR(INDEX(Projects!$A$2:$A$1000,2),"")</f>
        <v/>
      </c>
      <c r="C11" s="15">
        <f>IFERROR(COUNTIF(Tasks!$B$2:$B$5000,B11),"")</f>
        <v/>
      </c>
      <c r="D11" s="15">
        <f>IFERROR(COUNTIFS(Tasks!$B$2:$B$5000,B11,Tasks!$G$2:$G$5000,"Not Started"),"")</f>
        <v/>
      </c>
      <c r="E11" s="15">
        <f>IFERROR(COUNTIFS(Tasks!$B$2:$B$5000,B11,Tasks!$G$2:$G$5000,"In Progress"),"")</f>
        <v/>
      </c>
      <c r="F11" s="15">
        <f>IFERROR(COUNTIFS(Tasks!$B$2:$B$5000,B11,Tasks!$G$2:$G$5000,"In Review"),"")</f>
        <v/>
      </c>
      <c r="G11" s="15">
        <f>IFERROR(COUNTIFS(Tasks!$B$2:$B$5000,B11,Tasks!$G$2:$G$5000,"Done"),"")</f>
        <v/>
      </c>
      <c r="H11" s="15">
        <f>IFERROR(IF(C11=0,"",G11/C11),"")</f>
        <v/>
      </c>
      <c r="I11" s="16">
        <f>IFERROR(COUNTIFS(Tasks!$B$2:$B$5000,B11,Tasks!$F$2:$F$5000,"High"),"")</f>
        <v/>
      </c>
    </row>
    <row r="12" ht="18" customHeight="1">
      <c r="A12" s="10" t="n">
        <v>3</v>
      </c>
      <c r="B12" s="11">
        <f>IFERROR(INDEX(Projects!$A$2:$A$1000,3),"")</f>
        <v/>
      </c>
      <c r="C12" s="12">
        <f>IFERROR(COUNTIF(Tasks!$B$2:$B$5000,B12),"")</f>
        <v/>
      </c>
      <c r="D12" s="12">
        <f>IFERROR(COUNTIFS(Tasks!$B$2:$B$5000,B12,Tasks!$G$2:$G$5000,"Not Started"),"")</f>
        <v/>
      </c>
      <c r="E12" s="12">
        <f>IFERROR(COUNTIFS(Tasks!$B$2:$B$5000,B12,Tasks!$G$2:$G$5000,"In Progress"),"")</f>
        <v/>
      </c>
      <c r="F12" s="12">
        <f>IFERROR(COUNTIFS(Tasks!$B$2:$B$5000,B12,Tasks!$G$2:$G$5000,"In Review"),"")</f>
        <v/>
      </c>
      <c r="G12" s="12">
        <f>IFERROR(COUNTIFS(Tasks!$B$2:$B$5000,B12,Tasks!$G$2:$G$5000,"Done"),"")</f>
        <v/>
      </c>
      <c r="H12" s="12">
        <f>IFERROR(IF(C12=0,"",G12/C12),"")</f>
        <v/>
      </c>
      <c r="I12" s="13">
        <f>IFERROR(COUNTIFS(Tasks!$B$2:$B$5000,B12,Tasks!$F$2:$F$5000,"High"),"")</f>
        <v/>
      </c>
    </row>
    <row r="13" ht="18" customHeight="1">
      <c r="A13" s="10" t="n">
        <v>4</v>
      </c>
      <c r="B13" s="14">
        <f>IFERROR(INDEX(Projects!$A$2:$A$1000,4),"")</f>
        <v/>
      </c>
      <c r="C13" s="15">
        <f>IFERROR(COUNTIF(Tasks!$B$2:$B$5000,B13),"")</f>
        <v/>
      </c>
      <c r="D13" s="15">
        <f>IFERROR(COUNTIFS(Tasks!$B$2:$B$5000,B13,Tasks!$G$2:$G$5000,"Not Started"),"")</f>
        <v/>
      </c>
      <c r="E13" s="15">
        <f>IFERROR(COUNTIFS(Tasks!$B$2:$B$5000,B13,Tasks!$G$2:$G$5000,"In Progress"),"")</f>
        <v/>
      </c>
      <c r="F13" s="15">
        <f>IFERROR(COUNTIFS(Tasks!$B$2:$B$5000,B13,Tasks!$G$2:$G$5000,"In Review"),"")</f>
        <v/>
      </c>
      <c r="G13" s="15">
        <f>IFERROR(COUNTIFS(Tasks!$B$2:$B$5000,B13,Tasks!$G$2:$G$5000,"Done"),"")</f>
        <v/>
      </c>
      <c r="H13" s="15">
        <f>IFERROR(IF(C13=0,"",G13/C13),"")</f>
        <v/>
      </c>
      <c r="I13" s="16">
        <f>IFERROR(COUNTIFS(Tasks!$B$2:$B$5000,B13,Tasks!$F$2:$F$5000,"High"),"")</f>
        <v/>
      </c>
    </row>
    <row r="14" ht="18" customHeight="1">
      <c r="A14" s="10" t="n">
        <v>5</v>
      </c>
      <c r="B14" s="11">
        <f>IFERROR(INDEX(Projects!$A$2:$A$1000,5),"")</f>
        <v/>
      </c>
      <c r="C14" s="12">
        <f>IFERROR(COUNTIF(Tasks!$B$2:$B$5000,B14),"")</f>
        <v/>
      </c>
      <c r="D14" s="12">
        <f>IFERROR(COUNTIFS(Tasks!$B$2:$B$5000,B14,Tasks!$G$2:$G$5000,"Not Started"),"")</f>
        <v/>
      </c>
      <c r="E14" s="12">
        <f>IFERROR(COUNTIFS(Tasks!$B$2:$B$5000,B14,Tasks!$G$2:$G$5000,"In Progress"),"")</f>
        <v/>
      </c>
      <c r="F14" s="12">
        <f>IFERROR(COUNTIFS(Tasks!$B$2:$B$5000,B14,Tasks!$G$2:$G$5000,"In Review"),"")</f>
        <v/>
      </c>
      <c r="G14" s="12">
        <f>IFERROR(COUNTIFS(Tasks!$B$2:$B$5000,B14,Tasks!$G$2:$G$5000,"Done"),"")</f>
        <v/>
      </c>
      <c r="H14" s="12">
        <f>IFERROR(IF(C14=0,"",G14/C14),"")</f>
        <v/>
      </c>
      <c r="I14" s="13">
        <f>IFERROR(COUNTIFS(Tasks!$B$2:$B$5000,B14,Tasks!$F$2:$F$5000,"High"),"")</f>
        <v/>
      </c>
    </row>
    <row r="15" ht="18" customHeight="1">
      <c r="A15" s="10" t="n">
        <v>6</v>
      </c>
      <c r="B15" s="14">
        <f>IFERROR(INDEX(Projects!$A$2:$A$1000,6),"")</f>
        <v/>
      </c>
      <c r="C15" s="15">
        <f>IFERROR(COUNTIF(Tasks!$B$2:$B$5000,B15),"")</f>
        <v/>
      </c>
      <c r="D15" s="15">
        <f>IFERROR(COUNTIFS(Tasks!$B$2:$B$5000,B15,Tasks!$G$2:$G$5000,"Not Started"),"")</f>
        <v/>
      </c>
      <c r="E15" s="15">
        <f>IFERROR(COUNTIFS(Tasks!$B$2:$B$5000,B15,Tasks!$G$2:$G$5000,"In Progress"),"")</f>
        <v/>
      </c>
      <c r="F15" s="15">
        <f>IFERROR(COUNTIFS(Tasks!$B$2:$B$5000,B15,Tasks!$G$2:$G$5000,"In Review"),"")</f>
        <v/>
      </c>
      <c r="G15" s="15">
        <f>IFERROR(COUNTIFS(Tasks!$B$2:$B$5000,B15,Tasks!$G$2:$G$5000,"Done"),"")</f>
        <v/>
      </c>
      <c r="H15" s="15">
        <f>IFERROR(IF(C15=0,"",G15/C15),"")</f>
        <v/>
      </c>
      <c r="I15" s="16">
        <f>IFERROR(COUNTIFS(Tasks!$B$2:$B$5000,B15,Tasks!$F$2:$F$5000,"High"),"")</f>
        <v/>
      </c>
    </row>
    <row r="16" ht="18" customHeight="1">
      <c r="A16" s="10" t="n">
        <v>7</v>
      </c>
      <c r="B16" s="11">
        <f>IFERROR(INDEX(Projects!$A$2:$A$1000,7),"")</f>
        <v/>
      </c>
      <c r="C16" s="12">
        <f>IFERROR(COUNTIF(Tasks!$B$2:$B$5000,B16),"")</f>
        <v/>
      </c>
      <c r="D16" s="12">
        <f>IFERROR(COUNTIFS(Tasks!$B$2:$B$5000,B16,Tasks!$G$2:$G$5000,"Not Started"),"")</f>
        <v/>
      </c>
      <c r="E16" s="12">
        <f>IFERROR(COUNTIFS(Tasks!$B$2:$B$5000,B16,Tasks!$G$2:$G$5000,"In Progress"),"")</f>
        <v/>
      </c>
      <c r="F16" s="12">
        <f>IFERROR(COUNTIFS(Tasks!$B$2:$B$5000,B16,Tasks!$G$2:$G$5000,"In Review"),"")</f>
        <v/>
      </c>
      <c r="G16" s="12">
        <f>IFERROR(COUNTIFS(Tasks!$B$2:$B$5000,B16,Tasks!$G$2:$G$5000,"Done"),"")</f>
        <v/>
      </c>
      <c r="H16" s="12">
        <f>IFERROR(IF(C16=0,"",G16/C16),"")</f>
        <v/>
      </c>
      <c r="I16" s="13">
        <f>IFERROR(COUNTIFS(Tasks!$B$2:$B$5000,B16,Tasks!$F$2:$F$5000,"High"),"")</f>
        <v/>
      </c>
    </row>
    <row r="17" ht="18" customHeight="1">
      <c r="A17" s="10" t="n">
        <v>8</v>
      </c>
      <c r="B17" s="14">
        <f>IFERROR(INDEX(Projects!$A$2:$A$1000,8),"")</f>
        <v/>
      </c>
      <c r="C17" s="15">
        <f>IFERROR(COUNTIF(Tasks!$B$2:$B$5000,B17),"")</f>
        <v/>
      </c>
      <c r="D17" s="15">
        <f>IFERROR(COUNTIFS(Tasks!$B$2:$B$5000,B17,Tasks!$G$2:$G$5000,"Not Started"),"")</f>
        <v/>
      </c>
      <c r="E17" s="15">
        <f>IFERROR(COUNTIFS(Tasks!$B$2:$B$5000,B17,Tasks!$G$2:$G$5000,"In Progress"),"")</f>
        <v/>
      </c>
      <c r="F17" s="15">
        <f>IFERROR(COUNTIFS(Tasks!$B$2:$B$5000,B17,Tasks!$G$2:$G$5000,"In Review"),"")</f>
        <v/>
      </c>
      <c r="G17" s="15">
        <f>IFERROR(COUNTIFS(Tasks!$B$2:$B$5000,B17,Tasks!$G$2:$G$5000,"Done"),"")</f>
        <v/>
      </c>
      <c r="H17" s="15">
        <f>IFERROR(IF(C17=0,"",G17/C17),"")</f>
        <v/>
      </c>
      <c r="I17" s="16">
        <f>IFERROR(COUNTIFS(Tasks!$B$2:$B$5000,B17,Tasks!$F$2:$F$5000,"High"),"")</f>
        <v/>
      </c>
    </row>
    <row r="18" ht="18" customHeight="1">
      <c r="A18" s="10" t="n">
        <v>9</v>
      </c>
      <c r="B18" s="11">
        <f>IFERROR(INDEX(Projects!$A$2:$A$1000,9),"")</f>
        <v/>
      </c>
      <c r="C18" s="12">
        <f>IFERROR(COUNTIF(Tasks!$B$2:$B$5000,B18),"")</f>
        <v/>
      </c>
      <c r="D18" s="12">
        <f>IFERROR(COUNTIFS(Tasks!$B$2:$B$5000,B18,Tasks!$G$2:$G$5000,"Not Started"),"")</f>
        <v/>
      </c>
      <c r="E18" s="12">
        <f>IFERROR(COUNTIFS(Tasks!$B$2:$B$5000,B18,Tasks!$G$2:$G$5000,"In Progress"),"")</f>
        <v/>
      </c>
      <c r="F18" s="12">
        <f>IFERROR(COUNTIFS(Tasks!$B$2:$B$5000,B18,Tasks!$G$2:$G$5000,"In Review"),"")</f>
        <v/>
      </c>
      <c r="G18" s="12">
        <f>IFERROR(COUNTIFS(Tasks!$B$2:$B$5000,B18,Tasks!$G$2:$G$5000,"Done"),"")</f>
        <v/>
      </c>
      <c r="H18" s="12">
        <f>IFERROR(IF(C18=0,"",G18/C18),"")</f>
        <v/>
      </c>
      <c r="I18" s="13">
        <f>IFERROR(COUNTIFS(Tasks!$B$2:$B$5000,B18,Tasks!$F$2:$F$5000,"High"),"")</f>
        <v/>
      </c>
    </row>
    <row r="19" ht="18" customHeight="1">
      <c r="A19" s="10" t="n">
        <v>10</v>
      </c>
      <c r="B19" s="14">
        <f>IFERROR(INDEX(Projects!$A$2:$A$1000,10),"")</f>
        <v/>
      </c>
      <c r="C19" s="15">
        <f>IFERROR(COUNTIF(Tasks!$B$2:$B$5000,B19),"")</f>
        <v/>
      </c>
      <c r="D19" s="15">
        <f>IFERROR(COUNTIFS(Tasks!$B$2:$B$5000,B19,Tasks!$G$2:$G$5000,"Not Started"),"")</f>
        <v/>
      </c>
      <c r="E19" s="15">
        <f>IFERROR(COUNTIFS(Tasks!$B$2:$B$5000,B19,Tasks!$G$2:$G$5000,"In Progress"),"")</f>
        <v/>
      </c>
      <c r="F19" s="15">
        <f>IFERROR(COUNTIFS(Tasks!$B$2:$B$5000,B19,Tasks!$G$2:$G$5000,"In Review"),"")</f>
        <v/>
      </c>
      <c r="G19" s="15">
        <f>IFERROR(COUNTIFS(Tasks!$B$2:$B$5000,B19,Tasks!$G$2:$G$5000,"Done"),"")</f>
        <v/>
      </c>
      <c r="H19" s="15">
        <f>IFERROR(IF(C19=0,"",G19/C19),"")</f>
        <v/>
      </c>
      <c r="I19" s="16">
        <f>IFERROR(COUNTIFS(Tasks!$B$2:$B$5000,B19,Tasks!$F$2:$F$5000,"High"),"")</f>
        <v/>
      </c>
    </row>
    <row r="20" ht="18" customHeight="1">
      <c r="A20" s="10" t="n">
        <v>11</v>
      </c>
      <c r="B20" s="11">
        <f>IFERROR(INDEX(Projects!$A$2:$A$1000,11),"")</f>
        <v/>
      </c>
      <c r="C20" s="12">
        <f>IFERROR(COUNTIF(Tasks!$B$2:$B$5000,B20),"")</f>
        <v/>
      </c>
      <c r="D20" s="12">
        <f>IFERROR(COUNTIFS(Tasks!$B$2:$B$5000,B20,Tasks!$G$2:$G$5000,"Not Started"),"")</f>
        <v/>
      </c>
      <c r="E20" s="12">
        <f>IFERROR(COUNTIFS(Tasks!$B$2:$B$5000,B20,Tasks!$G$2:$G$5000,"In Progress"),"")</f>
        <v/>
      </c>
      <c r="F20" s="12">
        <f>IFERROR(COUNTIFS(Tasks!$B$2:$B$5000,B20,Tasks!$G$2:$G$5000,"In Review"),"")</f>
        <v/>
      </c>
      <c r="G20" s="12">
        <f>IFERROR(COUNTIFS(Tasks!$B$2:$B$5000,B20,Tasks!$G$2:$G$5000,"Done"),"")</f>
        <v/>
      </c>
      <c r="H20" s="12">
        <f>IFERROR(IF(C20=0,"",G20/C20),"")</f>
        <v/>
      </c>
      <c r="I20" s="13">
        <f>IFERROR(COUNTIFS(Tasks!$B$2:$B$5000,B20,Tasks!$F$2:$F$5000,"High"),"")</f>
        <v/>
      </c>
    </row>
    <row r="21" ht="18" customHeight="1">
      <c r="A21" s="10" t="n">
        <v>12</v>
      </c>
      <c r="B21" s="14">
        <f>IFERROR(INDEX(Projects!$A$2:$A$1000,12),"")</f>
        <v/>
      </c>
      <c r="C21" s="15">
        <f>IFERROR(COUNTIF(Tasks!$B$2:$B$5000,B21),"")</f>
        <v/>
      </c>
      <c r="D21" s="15">
        <f>IFERROR(COUNTIFS(Tasks!$B$2:$B$5000,B21,Tasks!$G$2:$G$5000,"Not Started"),"")</f>
        <v/>
      </c>
      <c r="E21" s="15">
        <f>IFERROR(COUNTIFS(Tasks!$B$2:$B$5000,B21,Tasks!$G$2:$G$5000,"In Progress"),"")</f>
        <v/>
      </c>
      <c r="F21" s="15">
        <f>IFERROR(COUNTIFS(Tasks!$B$2:$B$5000,B21,Tasks!$G$2:$G$5000,"In Review"),"")</f>
        <v/>
      </c>
      <c r="G21" s="15">
        <f>IFERROR(COUNTIFS(Tasks!$B$2:$B$5000,B21,Tasks!$G$2:$G$5000,"Done"),"")</f>
        <v/>
      </c>
      <c r="H21" s="15">
        <f>IFERROR(IF(C21=0,"",G21/C21),"")</f>
        <v/>
      </c>
      <c r="I21" s="16">
        <f>IFERROR(COUNTIFS(Tasks!$B$2:$B$5000,B21,Tasks!$F$2:$F$5000,"High"),"")</f>
        <v/>
      </c>
    </row>
    <row r="22" ht="18" customHeight="1">
      <c r="A22" s="10" t="n">
        <v>13</v>
      </c>
      <c r="B22" s="11">
        <f>IFERROR(INDEX(Projects!$A$2:$A$1000,13),"")</f>
        <v/>
      </c>
      <c r="C22" s="12">
        <f>IFERROR(COUNTIF(Tasks!$B$2:$B$5000,B22),"")</f>
        <v/>
      </c>
      <c r="D22" s="12">
        <f>IFERROR(COUNTIFS(Tasks!$B$2:$B$5000,B22,Tasks!$G$2:$G$5000,"Not Started"),"")</f>
        <v/>
      </c>
      <c r="E22" s="12">
        <f>IFERROR(COUNTIFS(Tasks!$B$2:$B$5000,B22,Tasks!$G$2:$G$5000,"In Progress"),"")</f>
        <v/>
      </c>
      <c r="F22" s="12">
        <f>IFERROR(COUNTIFS(Tasks!$B$2:$B$5000,B22,Tasks!$G$2:$G$5000,"In Review"),"")</f>
        <v/>
      </c>
      <c r="G22" s="12">
        <f>IFERROR(COUNTIFS(Tasks!$B$2:$B$5000,B22,Tasks!$G$2:$G$5000,"Done"),"")</f>
        <v/>
      </c>
      <c r="H22" s="12">
        <f>IFERROR(IF(C22=0,"",G22/C22),"")</f>
        <v/>
      </c>
      <c r="I22" s="13">
        <f>IFERROR(COUNTIFS(Tasks!$B$2:$B$5000,B22,Tasks!$F$2:$F$5000,"High"),"")</f>
        <v/>
      </c>
    </row>
    <row r="23" ht="18" customHeight="1">
      <c r="A23" s="10" t="n">
        <v>14</v>
      </c>
      <c r="B23" s="14">
        <f>IFERROR(INDEX(Projects!$A$2:$A$1000,14),"")</f>
        <v/>
      </c>
      <c r="C23" s="15">
        <f>IFERROR(COUNTIF(Tasks!$B$2:$B$5000,B23),"")</f>
        <v/>
      </c>
      <c r="D23" s="15">
        <f>IFERROR(COUNTIFS(Tasks!$B$2:$B$5000,B23,Tasks!$G$2:$G$5000,"Not Started"),"")</f>
        <v/>
      </c>
      <c r="E23" s="15">
        <f>IFERROR(COUNTIFS(Tasks!$B$2:$B$5000,B23,Tasks!$G$2:$G$5000,"In Progress"),"")</f>
        <v/>
      </c>
      <c r="F23" s="15">
        <f>IFERROR(COUNTIFS(Tasks!$B$2:$B$5000,B23,Tasks!$G$2:$G$5000,"In Review"),"")</f>
        <v/>
      </c>
      <c r="G23" s="15">
        <f>IFERROR(COUNTIFS(Tasks!$B$2:$B$5000,B23,Tasks!$G$2:$G$5000,"Done"),"")</f>
        <v/>
      </c>
      <c r="H23" s="15">
        <f>IFERROR(IF(C23=0,"",G23/C23),"")</f>
        <v/>
      </c>
      <c r="I23" s="16">
        <f>IFERROR(COUNTIFS(Tasks!$B$2:$B$5000,B23,Tasks!$F$2:$F$5000,"High"),"")</f>
        <v/>
      </c>
    </row>
    <row r="24" ht="18" customHeight="1">
      <c r="A24" s="10" t="n">
        <v>15</v>
      </c>
      <c r="B24" s="11">
        <f>IFERROR(INDEX(Projects!$A$2:$A$1000,15),"")</f>
        <v/>
      </c>
      <c r="C24" s="12">
        <f>IFERROR(COUNTIF(Tasks!$B$2:$B$5000,B24),"")</f>
        <v/>
      </c>
      <c r="D24" s="12">
        <f>IFERROR(COUNTIFS(Tasks!$B$2:$B$5000,B24,Tasks!$G$2:$G$5000,"Not Started"),"")</f>
        <v/>
      </c>
      <c r="E24" s="12">
        <f>IFERROR(COUNTIFS(Tasks!$B$2:$B$5000,B24,Tasks!$G$2:$G$5000,"In Progress"),"")</f>
        <v/>
      </c>
      <c r="F24" s="12">
        <f>IFERROR(COUNTIFS(Tasks!$B$2:$B$5000,B24,Tasks!$G$2:$G$5000,"In Review"),"")</f>
        <v/>
      </c>
      <c r="G24" s="12">
        <f>IFERROR(COUNTIFS(Tasks!$B$2:$B$5000,B24,Tasks!$G$2:$G$5000,"Done"),"")</f>
        <v/>
      </c>
      <c r="H24" s="12">
        <f>IFERROR(IF(C24=0,"",G24/C24),"")</f>
        <v/>
      </c>
      <c r="I24" s="13">
        <f>IFERROR(COUNTIFS(Tasks!$B$2:$B$5000,B24,Tasks!$F$2:$F$5000,"High"),"")</f>
        <v/>
      </c>
    </row>
    <row r="25" ht="18" customHeight="1">
      <c r="A25" s="10" t="n">
        <v>16</v>
      </c>
      <c r="B25" s="14">
        <f>IFERROR(INDEX(Projects!$A$2:$A$1000,16),"")</f>
        <v/>
      </c>
      <c r="C25" s="15">
        <f>IFERROR(COUNTIF(Tasks!$B$2:$B$5000,B25),"")</f>
        <v/>
      </c>
      <c r="D25" s="15">
        <f>IFERROR(COUNTIFS(Tasks!$B$2:$B$5000,B25,Tasks!$G$2:$G$5000,"Not Started"),"")</f>
        <v/>
      </c>
      <c r="E25" s="15">
        <f>IFERROR(COUNTIFS(Tasks!$B$2:$B$5000,B25,Tasks!$G$2:$G$5000,"In Progress"),"")</f>
        <v/>
      </c>
      <c r="F25" s="15">
        <f>IFERROR(COUNTIFS(Tasks!$B$2:$B$5000,B25,Tasks!$G$2:$G$5000,"In Review"),"")</f>
        <v/>
      </c>
      <c r="G25" s="15">
        <f>IFERROR(COUNTIFS(Tasks!$B$2:$B$5000,B25,Tasks!$G$2:$G$5000,"Done"),"")</f>
        <v/>
      </c>
      <c r="H25" s="15">
        <f>IFERROR(IF(C25=0,"",G25/C25),"")</f>
        <v/>
      </c>
      <c r="I25" s="16">
        <f>IFERROR(COUNTIFS(Tasks!$B$2:$B$5000,B25,Tasks!$F$2:$F$5000,"High"),"")</f>
        <v/>
      </c>
    </row>
    <row r="26" ht="18" customHeight="1">
      <c r="A26" s="10" t="n">
        <v>17</v>
      </c>
      <c r="B26" s="11">
        <f>IFERROR(INDEX(Projects!$A$2:$A$1000,17),"")</f>
        <v/>
      </c>
      <c r="C26" s="12">
        <f>IFERROR(COUNTIF(Tasks!$B$2:$B$5000,B26),"")</f>
        <v/>
      </c>
      <c r="D26" s="12">
        <f>IFERROR(COUNTIFS(Tasks!$B$2:$B$5000,B26,Tasks!$G$2:$G$5000,"Not Started"),"")</f>
        <v/>
      </c>
      <c r="E26" s="12">
        <f>IFERROR(COUNTIFS(Tasks!$B$2:$B$5000,B26,Tasks!$G$2:$G$5000,"In Progress"),"")</f>
        <v/>
      </c>
      <c r="F26" s="12">
        <f>IFERROR(COUNTIFS(Tasks!$B$2:$B$5000,B26,Tasks!$G$2:$G$5000,"In Review"),"")</f>
        <v/>
      </c>
      <c r="G26" s="12">
        <f>IFERROR(COUNTIFS(Tasks!$B$2:$B$5000,B26,Tasks!$G$2:$G$5000,"Done"),"")</f>
        <v/>
      </c>
      <c r="H26" s="12">
        <f>IFERROR(IF(C26=0,"",G26/C26),"")</f>
        <v/>
      </c>
      <c r="I26" s="13">
        <f>IFERROR(COUNTIFS(Tasks!$B$2:$B$5000,B26,Tasks!$F$2:$F$5000,"High"),"")</f>
        <v/>
      </c>
    </row>
    <row r="27" ht="18" customHeight="1">
      <c r="A27" s="10" t="n">
        <v>18</v>
      </c>
      <c r="B27" s="14">
        <f>IFERROR(INDEX(Projects!$A$2:$A$1000,18),"")</f>
        <v/>
      </c>
      <c r="C27" s="15">
        <f>IFERROR(COUNTIF(Tasks!$B$2:$B$5000,B27),"")</f>
        <v/>
      </c>
      <c r="D27" s="15">
        <f>IFERROR(COUNTIFS(Tasks!$B$2:$B$5000,B27,Tasks!$G$2:$G$5000,"Not Started"),"")</f>
        <v/>
      </c>
      <c r="E27" s="15">
        <f>IFERROR(COUNTIFS(Tasks!$B$2:$B$5000,B27,Tasks!$G$2:$G$5000,"In Progress"),"")</f>
        <v/>
      </c>
      <c r="F27" s="15">
        <f>IFERROR(COUNTIFS(Tasks!$B$2:$B$5000,B27,Tasks!$G$2:$G$5000,"In Review"),"")</f>
        <v/>
      </c>
      <c r="G27" s="15">
        <f>IFERROR(COUNTIFS(Tasks!$B$2:$B$5000,B27,Tasks!$G$2:$G$5000,"Done"),"")</f>
        <v/>
      </c>
      <c r="H27" s="15">
        <f>IFERROR(IF(C27=0,"",G27/C27),"")</f>
        <v/>
      </c>
      <c r="I27" s="16">
        <f>IFERROR(COUNTIFS(Tasks!$B$2:$B$5000,B27,Tasks!$F$2:$F$5000,"High"),"")</f>
        <v/>
      </c>
    </row>
    <row r="28" ht="18" customHeight="1">
      <c r="A28" s="10" t="n">
        <v>19</v>
      </c>
      <c r="B28" s="11">
        <f>IFERROR(INDEX(Projects!$A$2:$A$1000,19),"")</f>
        <v/>
      </c>
      <c r="C28" s="12">
        <f>IFERROR(COUNTIF(Tasks!$B$2:$B$5000,B28),"")</f>
        <v/>
      </c>
      <c r="D28" s="12">
        <f>IFERROR(COUNTIFS(Tasks!$B$2:$B$5000,B28,Tasks!$G$2:$G$5000,"Not Started"),"")</f>
        <v/>
      </c>
      <c r="E28" s="12">
        <f>IFERROR(COUNTIFS(Tasks!$B$2:$B$5000,B28,Tasks!$G$2:$G$5000,"In Progress"),"")</f>
        <v/>
      </c>
      <c r="F28" s="12">
        <f>IFERROR(COUNTIFS(Tasks!$B$2:$B$5000,B28,Tasks!$G$2:$G$5000,"In Review"),"")</f>
        <v/>
      </c>
      <c r="G28" s="12">
        <f>IFERROR(COUNTIFS(Tasks!$B$2:$B$5000,B28,Tasks!$G$2:$G$5000,"Done"),"")</f>
        <v/>
      </c>
      <c r="H28" s="12">
        <f>IFERROR(IF(C28=0,"",G28/C28),"")</f>
        <v/>
      </c>
      <c r="I28" s="13">
        <f>IFERROR(COUNTIFS(Tasks!$B$2:$B$5000,B28,Tasks!$F$2:$F$5000,"High"),"")</f>
        <v/>
      </c>
    </row>
    <row r="29" ht="18" customHeight="1">
      <c r="A29" s="10" t="n">
        <v>20</v>
      </c>
      <c r="B29" s="14">
        <f>IFERROR(INDEX(Projects!$A$2:$A$1000,20),"")</f>
        <v/>
      </c>
      <c r="C29" s="15">
        <f>IFERROR(COUNTIF(Tasks!$B$2:$B$5000,B29),"")</f>
        <v/>
      </c>
      <c r="D29" s="15">
        <f>IFERROR(COUNTIFS(Tasks!$B$2:$B$5000,B29,Tasks!$G$2:$G$5000,"Not Started"),"")</f>
        <v/>
      </c>
      <c r="E29" s="15">
        <f>IFERROR(COUNTIFS(Tasks!$B$2:$B$5000,B29,Tasks!$G$2:$G$5000,"In Progress"),"")</f>
        <v/>
      </c>
      <c r="F29" s="15">
        <f>IFERROR(COUNTIFS(Tasks!$B$2:$B$5000,B29,Tasks!$G$2:$G$5000,"In Review"),"")</f>
        <v/>
      </c>
      <c r="G29" s="15">
        <f>IFERROR(COUNTIFS(Tasks!$B$2:$B$5000,B29,Tasks!$G$2:$G$5000,"Done"),"")</f>
        <v/>
      </c>
      <c r="H29" s="15">
        <f>IFERROR(IF(C29=0,"",G29/C29),"")</f>
        <v/>
      </c>
      <c r="I29" s="16">
        <f>IFERROR(COUNTIFS(Tasks!$B$2:$B$5000,B29,Tasks!$F$2:$F$5000,"High"),"")</f>
        <v/>
      </c>
    </row>
  </sheetData>
  <mergeCells count="8">
    <mergeCell ref="F6:I7"/>
    <mergeCell ref="A1:M1"/>
    <mergeCell ref="B4:E5"/>
    <mergeCell ref="F4:I5"/>
    <mergeCell ref="J4:M5"/>
    <mergeCell ref="J6:M7"/>
    <mergeCell ref="A2:M2"/>
    <mergeCell ref="B6:E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0" customWidth="1" min="3" max="3"/>
    <col width="18" customWidth="1" min="4" max="4"/>
    <col width="12" customWidth="1" min="5" max="5"/>
    <col width="12" customWidth="1" min="6" max="6"/>
    <col width="14" customWidth="1" min="7" max="7"/>
    <col width="10" customWidth="1" min="8" max="8"/>
    <col width="30" customWidth="1" min="9" max="9"/>
  </cols>
  <sheetData>
    <row r="1" ht="28" customHeight="1">
      <c r="A1" s="17" t="inlineStr">
        <is>
          <t>Project Name</t>
        </is>
      </c>
      <c r="B1" s="17" t="inlineStr">
        <is>
          <t>Project Code</t>
        </is>
      </c>
      <c r="C1" s="17" t="inlineStr">
        <is>
          <t>Description</t>
        </is>
      </c>
      <c r="D1" s="17" t="inlineStr">
        <is>
          <t>Owner</t>
        </is>
      </c>
      <c r="E1" s="17" t="inlineStr">
        <is>
          <t>Start Date</t>
        </is>
      </c>
      <c r="F1" s="17" t="inlineStr">
        <is>
          <t>Target Date</t>
        </is>
      </c>
      <c r="G1" s="17" t="inlineStr">
        <is>
          <t>Status</t>
        </is>
      </c>
      <c r="H1" s="17" t="inlineStr">
        <is>
          <t>Priority</t>
        </is>
      </c>
      <c r="I1" s="17" t="inlineStr">
        <is>
          <t>Notes</t>
        </is>
      </c>
    </row>
    <row r="2" ht="20" customHeight="1">
      <c r="A2" s="18" t="inlineStr">
        <is>
          <t>Website Redesign</t>
        </is>
      </c>
      <c r="B2" s="18" t="inlineStr">
        <is>
          <t>WEB-001</t>
        </is>
      </c>
      <c r="C2" s="18" t="inlineStr">
        <is>
          <t>Full redesign of company website</t>
        </is>
      </c>
      <c r="D2" s="18" t="inlineStr">
        <is>
          <t>Alice Chen</t>
        </is>
      </c>
      <c r="E2" s="18" t="inlineStr">
        <is>
          <t>2026-04-01</t>
        </is>
      </c>
      <c r="F2" s="18" t="inlineStr">
        <is>
          <t>2026-06-30</t>
        </is>
      </c>
      <c r="G2" s="18" t="inlineStr">
        <is>
          <t>In Progress</t>
        </is>
      </c>
      <c r="H2" s="18" t="inlineStr">
        <is>
          <t>High</t>
        </is>
      </c>
      <c r="I2" s="18" t="inlineStr"/>
    </row>
    <row r="3" ht="20" customHeight="1">
      <c r="A3" s="19" t="inlineStr">
        <is>
          <t>Mobile App v2</t>
        </is>
      </c>
      <c r="B3" s="19" t="inlineStr">
        <is>
          <t>MOB-002</t>
        </is>
      </c>
      <c r="C3" s="19" t="inlineStr">
        <is>
          <t>Second version of the mobile application</t>
        </is>
      </c>
      <c r="D3" s="19" t="inlineStr">
        <is>
          <t>Bob Kim</t>
        </is>
      </c>
      <c r="E3" s="19" t="inlineStr">
        <is>
          <t>2026-04-15</t>
        </is>
      </c>
      <c r="F3" s="19" t="inlineStr">
        <is>
          <t>2026-08-31</t>
        </is>
      </c>
      <c r="G3" s="19" t="inlineStr">
        <is>
          <t>Planning</t>
        </is>
      </c>
      <c r="H3" s="19" t="inlineStr">
        <is>
          <t>High</t>
        </is>
      </c>
      <c r="I3" s="19" t="inlineStr"/>
    </row>
    <row r="4" ht="20" customHeight="1">
      <c r="A4" s="18" t="inlineStr">
        <is>
          <t>API Integration</t>
        </is>
      </c>
      <c r="B4" s="18" t="inlineStr">
        <is>
          <t>API-003</t>
        </is>
      </c>
      <c r="C4" s="18" t="inlineStr">
        <is>
          <t>Third-party API integrations</t>
        </is>
      </c>
      <c r="D4" s="18" t="inlineStr">
        <is>
          <t>Carlos D.</t>
        </is>
      </c>
      <c r="E4" s="18" t="inlineStr">
        <is>
          <t>2026-05-01</t>
        </is>
      </c>
      <c r="F4" s="18" t="inlineStr">
        <is>
          <t>2026-07-15</t>
        </is>
      </c>
      <c r="G4" s="18" t="inlineStr">
        <is>
          <t>Not Started</t>
        </is>
      </c>
      <c r="H4" s="18" t="inlineStr">
        <is>
          <t>Medium</t>
        </is>
      </c>
      <c r="I4" s="18" t="inlineStr"/>
    </row>
    <row r="5" ht="18" customHeight="1">
      <c r="A5" s="20" t="n"/>
      <c r="B5" s="20" t="n"/>
      <c r="C5" s="20" t="n"/>
      <c r="D5" s="20" t="n"/>
      <c r="E5" s="20" t="n"/>
      <c r="F5" s="20" t="n"/>
      <c r="G5" s="20" t="n"/>
      <c r="H5" s="20" t="n"/>
      <c r="I5" s="20" t="n"/>
    </row>
    <row r="6" ht="18" customHeight="1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</row>
    <row r="7" ht="18" customHeight="1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</row>
    <row r="8" ht="18" customHeight="1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</row>
    <row r="9" ht="18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</row>
    <row r="10" ht="18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</row>
    <row r="11" ht="18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</row>
    <row r="12" ht="18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</row>
    <row r="13" ht="1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</row>
    <row r="14" ht="18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</row>
    <row r="15" ht="1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</row>
    <row r="16" ht="18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</row>
    <row r="17" ht="1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</row>
    <row r="18" ht="18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</row>
    <row r="19" ht="1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</row>
    <row r="20" ht="18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</row>
    <row r="21" ht="1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</row>
    <row r="22" ht="18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</row>
    <row r="23" ht="18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</row>
    <row r="24" ht="18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</row>
    <row r="25" ht="18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</row>
    <row r="26" ht="18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</row>
    <row r="27" ht="1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</row>
    <row r="28" ht="18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</row>
    <row r="29" ht="18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</row>
    <row r="30" ht="18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</row>
    <row r="31" ht="18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</row>
    <row r="32" ht="18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</row>
    <row r="33" ht="18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</row>
    <row r="34" ht="18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</row>
    <row r="35" ht="18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</row>
    <row r="36" ht="18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</row>
    <row r="37" ht="18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</row>
    <row r="38" ht="18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</row>
    <row r="39" ht="18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</row>
    <row r="40" ht="18" customHeight="1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</row>
    <row r="41" ht="18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</row>
    <row r="42" ht="18" customHeight="1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</row>
    <row r="43" ht="18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</row>
    <row r="44" ht="18" customHeight="1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</row>
    <row r="45" ht="18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</row>
    <row r="46" ht="18" customHeight="1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</row>
    <row r="47" ht="18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</row>
    <row r="48" ht="18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</row>
    <row r="49" ht="18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</row>
    <row r="50" ht="18" customHeight="1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</row>
    <row r="51" ht="18" customHeight="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</row>
  </sheetData>
  <dataValidations count="2">
    <dataValidation sqref="G2:G1000" showDropDown="0" showInputMessage="0" showErrorMessage="0" allowBlank="0" type="list">
      <formula1>"Not Started,Planning,In Progress,On Hold,Done,Cancelled"</formula1>
    </dataValidation>
    <dataValidation sqref="H2:H1000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B0A0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38" customWidth="1" min="4" max="4"/>
    <col width="14" customWidth="1" min="5" max="5"/>
    <col width="10" customWidth="1" min="6" max="6"/>
    <col width="13" customWidth="1" min="7" max="7"/>
    <col width="16" customWidth="1" min="8" max="8"/>
    <col width="11" customWidth="1" min="9" max="9"/>
    <col width="13" customWidth="1" min="10" max="10"/>
    <col width="12" customWidth="1" min="11" max="11"/>
    <col width="12" customWidth="1" min="12" max="12"/>
    <col width="20" customWidth="1" min="13" max="13"/>
    <col width="28" customWidth="1" min="14" max="14"/>
  </cols>
  <sheetData>
    <row r="1" ht="28" customHeight="1">
      <c r="A1" s="17" t="inlineStr">
        <is>
          <t>Task ID</t>
        </is>
      </c>
      <c r="B1" s="17" t="inlineStr">
        <is>
          <t>Project Name</t>
        </is>
      </c>
      <c r="C1" s="17" t="inlineStr">
        <is>
          <t>Task Name</t>
        </is>
      </c>
      <c r="D1" s="17" t="inlineStr">
        <is>
          <t>Description</t>
        </is>
      </c>
      <c r="E1" s="17" t="inlineStr">
        <is>
          <t>Category</t>
        </is>
      </c>
      <c r="F1" s="17" t="inlineStr">
        <is>
          <t>Priority</t>
        </is>
      </c>
      <c r="G1" s="17" t="inlineStr">
        <is>
          <t>Status</t>
        </is>
      </c>
      <c r="H1" s="17" t="inlineStr">
        <is>
          <t>Assignee</t>
        </is>
      </c>
      <c r="I1" s="17" t="inlineStr">
        <is>
          <t>Est. Hours</t>
        </is>
      </c>
      <c r="J1" s="17" t="inlineStr">
        <is>
          <t>Actual Hours</t>
        </is>
      </c>
      <c r="K1" s="17" t="inlineStr">
        <is>
          <t>Start Date</t>
        </is>
      </c>
      <c r="L1" s="17" t="inlineStr">
        <is>
          <t>Due Date</t>
        </is>
      </c>
      <c r="M1" s="17" t="inlineStr">
        <is>
          <t>Dependencies</t>
        </is>
      </c>
      <c r="N1" s="17" t="inlineStr">
        <is>
          <t>Notes</t>
        </is>
      </c>
    </row>
    <row r="2" ht="20" customHeight="1">
      <c r="A2" s="18" t="inlineStr">
        <is>
          <t>WEB-001-001</t>
        </is>
      </c>
      <c r="B2" s="18" t="inlineStr">
        <is>
          <t>Website Redesign</t>
        </is>
      </c>
      <c r="C2" s="18" t="inlineStr">
        <is>
          <t>UX Wireframes</t>
        </is>
      </c>
      <c r="D2" s="18" t="inlineStr">
        <is>
          <t>Create wireframes for all pages</t>
        </is>
      </c>
      <c r="E2" s="18" t="inlineStr">
        <is>
          <t>Design</t>
        </is>
      </c>
      <c r="F2" s="18" t="inlineStr">
        <is>
          <t>High</t>
        </is>
      </c>
      <c r="G2" s="18" t="inlineStr">
        <is>
          <t>Done</t>
        </is>
      </c>
      <c r="H2" s="18" t="inlineStr">
        <is>
          <t>Alice Chen</t>
        </is>
      </c>
      <c r="I2" s="18" t="n">
        <v>16</v>
      </c>
      <c r="J2" s="18" t="n">
        <v>16</v>
      </c>
      <c r="K2" s="18" t="inlineStr">
        <is>
          <t>2026-04-01</t>
        </is>
      </c>
      <c r="L2" s="18" t="inlineStr">
        <is>
          <t>2026-04-07</t>
        </is>
      </c>
      <c r="M2" s="18" t="inlineStr"/>
      <c r="N2" s="18" t="inlineStr"/>
    </row>
    <row r="3" ht="20" customHeight="1">
      <c r="A3" s="19" t="inlineStr">
        <is>
          <t>WEB-001-002</t>
        </is>
      </c>
      <c r="B3" s="19" t="inlineStr">
        <is>
          <t>Website Redesign</t>
        </is>
      </c>
      <c r="C3" s="19" t="inlineStr">
        <is>
          <t>UI Design System</t>
        </is>
      </c>
      <c r="D3" s="19" t="inlineStr">
        <is>
          <t>Define colors, typography, components</t>
        </is>
      </c>
      <c r="E3" s="19" t="inlineStr">
        <is>
          <t>Design</t>
        </is>
      </c>
      <c r="F3" s="19" t="inlineStr">
        <is>
          <t>High</t>
        </is>
      </c>
      <c r="G3" s="19" t="inlineStr">
        <is>
          <t>In Progress</t>
        </is>
      </c>
      <c r="H3" s="19" t="inlineStr">
        <is>
          <t>Alice Chen</t>
        </is>
      </c>
      <c r="I3" s="19" t="n">
        <v>24</v>
      </c>
      <c r="J3" s="19" t="n">
        <v>10</v>
      </c>
      <c r="K3" s="19" t="inlineStr">
        <is>
          <t>2026-04-08</t>
        </is>
      </c>
      <c r="L3" s="19" t="inlineStr">
        <is>
          <t>2026-04-21</t>
        </is>
      </c>
      <c r="M3" s="19" t="inlineStr">
        <is>
          <t>WEB-001-001</t>
        </is>
      </c>
      <c r="N3" s="19" t="inlineStr"/>
    </row>
    <row r="4" ht="20" customHeight="1">
      <c r="A4" s="18" t="inlineStr">
        <is>
          <t>WEB-001-003</t>
        </is>
      </c>
      <c r="B4" s="18" t="inlineStr">
        <is>
          <t>Website Redesign</t>
        </is>
      </c>
      <c r="C4" s="18" t="inlineStr">
        <is>
          <t>Homepage Dev</t>
        </is>
      </c>
      <c r="D4" s="18" t="inlineStr">
        <is>
          <t>Build homepage with React</t>
        </is>
      </c>
      <c r="E4" s="18" t="inlineStr">
        <is>
          <t>Frontend</t>
        </is>
      </c>
      <c r="F4" s="18" t="inlineStr">
        <is>
          <t>High</t>
        </is>
      </c>
      <c r="G4" s="18" t="inlineStr">
        <is>
          <t>Not Started</t>
        </is>
      </c>
      <c r="H4" s="18" t="inlineStr">
        <is>
          <t>David Lee</t>
        </is>
      </c>
      <c r="I4" s="18" t="n">
        <v>20</v>
      </c>
      <c r="J4" s="18" t="n">
        <v>0</v>
      </c>
      <c r="K4" s="18" t="inlineStr">
        <is>
          <t>2026-04-22</t>
        </is>
      </c>
      <c r="L4" s="18" t="inlineStr">
        <is>
          <t>2026-05-05</t>
        </is>
      </c>
      <c r="M4" s="18" t="inlineStr">
        <is>
          <t>WEB-001-002</t>
        </is>
      </c>
      <c r="N4" s="18" t="inlineStr"/>
    </row>
    <row r="5" ht="20" customHeight="1">
      <c r="A5" s="19" t="inlineStr">
        <is>
          <t>MOB-002-001</t>
        </is>
      </c>
      <c r="B5" s="19" t="inlineStr">
        <is>
          <t>Mobile App v2</t>
        </is>
      </c>
      <c r="C5" s="19" t="inlineStr">
        <is>
          <t>Tech Stack Review</t>
        </is>
      </c>
      <c r="D5" s="19" t="inlineStr">
        <is>
          <t>Evaluate Flutter vs React Native</t>
        </is>
      </c>
      <c r="E5" s="19" t="inlineStr">
        <is>
          <t>Architecture</t>
        </is>
      </c>
      <c r="F5" s="19" t="inlineStr">
        <is>
          <t>High</t>
        </is>
      </c>
      <c r="G5" s="19" t="inlineStr">
        <is>
          <t>In Progress</t>
        </is>
      </c>
      <c r="H5" s="19" t="inlineStr">
        <is>
          <t>Bob Kim</t>
        </is>
      </c>
      <c r="I5" s="19" t="n">
        <v>8</v>
      </c>
      <c r="J5" s="19" t="n">
        <v>4</v>
      </c>
      <c r="K5" s="19" t="inlineStr">
        <is>
          <t>2026-04-15</t>
        </is>
      </c>
      <c r="L5" s="19" t="inlineStr">
        <is>
          <t>2026-04-20</t>
        </is>
      </c>
      <c r="M5" s="19" t="inlineStr"/>
      <c r="N5" s="19" t="inlineStr"/>
    </row>
    <row r="6" ht="20" customHeight="1">
      <c r="A6" s="18" t="inlineStr">
        <is>
          <t>API-003-001</t>
        </is>
      </c>
      <c r="B6" s="18" t="inlineStr">
        <is>
          <t>API Integration</t>
        </is>
      </c>
      <c r="C6" s="18" t="inlineStr">
        <is>
          <t>OAuth 2.0 Setup</t>
        </is>
      </c>
      <c r="D6" s="18" t="inlineStr">
        <is>
          <t>Implement OAuth for third-party auth</t>
        </is>
      </c>
      <c r="E6" s="18" t="inlineStr">
        <is>
          <t>Backend</t>
        </is>
      </c>
      <c r="F6" s="18" t="inlineStr">
        <is>
          <t>Medium</t>
        </is>
      </c>
      <c r="G6" s="18" t="inlineStr">
        <is>
          <t>Not Started</t>
        </is>
      </c>
      <c r="H6" s="18" t="inlineStr">
        <is>
          <t>Carlos D.</t>
        </is>
      </c>
      <c r="I6" s="18" t="n">
        <v>12</v>
      </c>
      <c r="J6" s="18" t="n">
        <v>0</v>
      </c>
      <c r="K6" s="18" t="inlineStr">
        <is>
          <t>2026-05-01</t>
        </is>
      </c>
      <c r="L6" s="18" t="inlineStr">
        <is>
          <t>2026-05-10</t>
        </is>
      </c>
      <c r="M6" s="18" t="inlineStr"/>
      <c r="N6" s="18" t="inlineStr"/>
    </row>
    <row r="7" ht="18" customHeight="1">
      <c r="A7" s="20" t="n"/>
      <c r="B7" s="20" t="n"/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</row>
    <row r="8" ht="18" customHeight="1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</row>
    <row r="9" ht="18" customHeight="1">
      <c r="A9" s="20" t="n"/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</row>
    <row r="10" ht="18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</row>
    <row r="11" ht="18" customHeight="1">
      <c r="A11" s="20" t="n"/>
      <c r="B11" s="20" t="n"/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</row>
    <row r="12" ht="18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</row>
    <row r="13" ht="18" customHeight="1">
      <c r="A13" s="20" t="n"/>
      <c r="B13" s="20" t="n"/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</row>
    <row r="14" ht="18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  <c r="N14" s="21" t="n"/>
    </row>
    <row r="15" ht="18" customHeight="1">
      <c r="A15" s="20" t="n"/>
      <c r="B15" s="20" t="n"/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</row>
    <row r="16" ht="18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  <c r="N16" s="21" t="n"/>
    </row>
    <row r="17" ht="18" customHeight="1">
      <c r="A17" s="20" t="n"/>
      <c r="B17" s="20" t="n"/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</row>
    <row r="18" ht="18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</row>
    <row r="19" ht="18" customHeight="1">
      <c r="A19" s="20" t="n"/>
      <c r="B19" s="20" t="n"/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</row>
    <row r="20" ht="18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</row>
    <row r="21" ht="18" customHeight="1">
      <c r="A21" s="20" t="n"/>
      <c r="B21" s="20" t="n"/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</row>
    <row r="22" ht="18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</row>
    <row r="23" ht="18" customHeight="1">
      <c r="A23" s="20" t="n"/>
      <c r="B23" s="20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</row>
    <row r="24" ht="18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</row>
    <row r="25" ht="18" customHeight="1">
      <c r="A25" s="20" t="n"/>
      <c r="B25" s="20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</row>
    <row r="26" ht="18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  <c r="N26" s="21" t="n"/>
    </row>
    <row r="27" ht="18" customHeight="1">
      <c r="A27" s="20" t="n"/>
      <c r="B27" s="20" t="n"/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</row>
    <row r="28" ht="18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  <c r="N28" s="21" t="n"/>
    </row>
    <row r="29" ht="18" customHeight="1">
      <c r="A29" s="20" t="n"/>
      <c r="B29" s="20" t="n"/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</row>
    <row r="30" ht="18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  <c r="N30" s="21" t="n"/>
    </row>
    <row r="31" ht="18" customHeight="1">
      <c r="A31" s="20" t="n"/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</row>
    <row r="32" ht="18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  <c r="N32" s="21" t="n"/>
    </row>
    <row r="33" ht="18" customHeight="1">
      <c r="A33" s="20" t="n"/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</row>
    <row r="34" ht="18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  <c r="N34" s="21" t="n"/>
    </row>
    <row r="35" ht="18" customHeight="1">
      <c r="A35" s="20" t="n"/>
      <c r="B35" s="20" t="n"/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</row>
    <row r="36" ht="18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  <c r="N36" s="21" t="n"/>
    </row>
    <row r="37" ht="18" customHeight="1">
      <c r="A37" s="20" t="n"/>
      <c r="B37" s="20" t="n"/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</row>
    <row r="38" ht="18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  <c r="N38" s="21" t="n"/>
    </row>
    <row r="39" ht="18" customHeight="1">
      <c r="A39" s="20" t="n"/>
      <c r="B39" s="20" t="n"/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</row>
    <row r="40" ht="18" customHeight="1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  <c r="N40" s="21" t="n"/>
    </row>
    <row r="41" ht="18" customHeight="1">
      <c r="A41" s="20" t="n"/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</row>
    <row r="42" ht="18" customHeight="1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</row>
    <row r="43" ht="18" customHeight="1">
      <c r="A43" s="20" t="n"/>
      <c r="B43" s="20" t="n"/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</row>
    <row r="44" ht="18" customHeight="1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</row>
    <row r="45" ht="18" customHeight="1">
      <c r="A45" s="20" t="n"/>
      <c r="B45" s="20" t="n"/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</row>
    <row r="46" ht="18" customHeight="1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</row>
    <row r="47" ht="18" customHeight="1">
      <c r="A47" s="20" t="n"/>
      <c r="B47" s="20" t="n"/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</row>
    <row r="48" ht="18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</row>
    <row r="49" ht="18" customHeight="1">
      <c r="A49" s="20" t="n"/>
      <c r="B49" s="20" t="n"/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</row>
    <row r="50" ht="18" customHeight="1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  <c r="N50" s="21" t="n"/>
    </row>
    <row r="51" ht="18" customHeight="1">
      <c r="A51" s="20" t="n"/>
      <c r="B51" s="20" t="n"/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</row>
    <row r="52" ht="18" customHeight="1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  <c r="N52" s="21" t="n"/>
    </row>
    <row r="53" ht="18" customHeight="1">
      <c r="A53" s="20" t="n"/>
      <c r="B53" s="20" t="n"/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</row>
    <row r="54" ht="18" customHeight="1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  <c r="N54" s="21" t="n"/>
    </row>
    <row r="55" ht="18" customHeight="1">
      <c r="A55" s="20" t="n"/>
      <c r="B55" s="20" t="n"/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</row>
    <row r="56" ht="18" customHeight="1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  <c r="N56" s="21" t="n"/>
    </row>
    <row r="57" ht="18" customHeight="1">
      <c r="A57" s="20" t="n"/>
      <c r="B57" s="20" t="n"/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</row>
    <row r="58" ht="18" customHeight="1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  <c r="N58" s="21" t="n"/>
    </row>
    <row r="59" ht="18" customHeight="1">
      <c r="A59" s="20" t="n"/>
      <c r="B59" s="20" t="n"/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</row>
    <row r="60" ht="18" customHeight="1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  <c r="N60" s="21" t="n"/>
    </row>
    <row r="61" ht="18" customHeight="1">
      <c r="A61" s="20" t="n"/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</row>
    <row r="62" ht="18" customHeight="1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  <c r="N62" s="21" t="n"/>
    </row>
    <row r="63" ht="18" customHeight="1">
      <c r="A63" s="20" t="n"/>
      <c r="B63" s="20" t="n"/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</row>
    <row r="64" ht="18" customHeight="1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  <c r="N64" s="21" t="n"/>
    </row>
    <row r="65" ht="18" customHeight="1">
      <c r="A65" s="20" t="n"/>
      <c r="B65" s="20" t="n"/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</row>
    <row r="66" ht="18" customHeight="1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</row>
    <row r="67" ht="18" customHeight="1">
      <c r="A67" s="20" t="n"/>
      <c r="B67" s="20" t="n"/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</row>
    <row r="68" ht="18" customHeight="1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</row>
    <row r="69" ht="18" customHeight="1">
      <c r="A69" s="20" t="n"/>
      <c r="B69" s="20" t="n"/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</row>
    <row r="70" ht="18" customHeight="1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  <c r="N70" s="21" t="n"/>
    </row>
    <row r="71" ht="18" customHeight="1">
      <c r="A71" s="20" t="n"/>
      <c r="B71" s="20" t="n"/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</row>
    <row r="72" ht="18" customHeight="1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</row>
    <row r="73" ht="18" customHeight="1">
      <c r="A73" s="20" t="n"/>
      <c r="B73" s="20" t="n"/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</row>
    <row r="74" ht="18" customHeight="1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  <c r="N74" s="21" t="n"/>
    </row>
    <row r="75" ht="18" customHeight="1">
      <c r="A75" s="20" t="n"/>
      <c r="B75" s="20" t="n"/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</row>
    <row r="76" ht="18" customHeight="1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  <c r="N76" s="21" t="n"/>
    </row>
    <row r="77" ht="18" customHeight="1">
      <c r="A77" s="20" t="n"/>
      <c r="B77" s="20" t="n"/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</row>
    <row r="78" ht="18" customHeight="1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  <c r="N78" s="21" t="n"/>
    </row>
    <row r="79" ht="18" customHeight="1">
      <c r="A79" s="20" t="n"/>
      <c r="B79" s="20" t="n"/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</row>
    <row r="80" ht="18" customHeight="1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  <c r="N80" s="21" t="n"/>
    </row>
    <row r="81" ht="18" customHeight="1">
      <c r="A81" s="20" t="n"/>
      <c r="B81" s="20" t="n"/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</row>
    <row r="82" ht="18" customHeight="1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  <c r="N82" s="21" t="n"/>
    </row>
    <row r="83" ht="18" customHeight="1">
      <c r="A83" s="20" t="n"/>
      <c r="B83" s="20" t="n"/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</row>
    <row r="84" ht="18" customHeight="1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  <c r="N84" s="21" t="n"/>
    </row>
    <row r="85" ht="18" customHeight="1">
      <c r="A85" s="20" t="n"/>
      <c r="B85" s="20" t="n"/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</row>
    <row r="86" ht="18" customHeight="1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  <c r="N86" s="21" t="n"/>
    </row>
    <row r="87" ht="18" customHeight="1">
      <c r="A87" s="20" t="n"/>
      <c r="B87" s="20" t="n"/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</row>
    <row r="88" ht="18" customHeight="1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  <c r="N88" s="21" t="n"/>
    </row>
    <row r="89" ht="18" customHeight="1">
      <c r="A89" s="20" t="n"/>
      <c r="B89" s="20" t="n"/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</row>
    <row r="90" ht="18" customHeight="1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</row>
    <row r="91" ht="18" customHeight="1">
      <c r="A91" s="20" t="n"/>
      <c r="B91" s="20" t="n"/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</row>
    <row r="92" ht="18" customHeight="1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</row>
    <row r="93" ht="18" customHeight="1">
      <c r="A93" s="20" t="n"/>
      <c r="B93" s="20" t="n"/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</row>
    <row r="94" ht="18" customHeight="1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</row>
    <row r="95" ht="18" customHeight="1">
      <c r="A95" s="20" t="n"/>
      <c r="B95" s="20" t="n"/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</row>
    <row r="96" ht="18" customHeight="1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</row>
    <row r="97" ht="18" customHeight="1">
      <c r="A97" s="20" t="n"/>
      <c r="B97" s="20" t="n"/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</row>
    <row r="98" ht="18" customHeight="1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</row>
    <row r="99" ht="18" customHeight="1">
      <c r="A99" s="20" t="n"/>
      <c r="B99" s="20" t="n"/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</row>
    <row r="100" ht="18" customHeight="1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  <c r="N100" s="21" t="n"/>
    </row>
    <row r="101" ht="18" customHeight="1">
      <c r="A101" s="20" t="n"/>
      <c r="B101" s="20" t="n"/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</row>
    <row r="102" ht="18" customHeight="1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  <c r="N102" s="21" t="n"/>
    </row>
    <row r="103" ht="18" customHeight="1">
      <c r="A103" s="20" t="n"/>
      <c r="B103" s="20" t="n"/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</row>
    <row r="104" ht="18" customHeight="1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  <c r="N104" s="21" t="n"/>
    </row>
    <row r="105" ht="18" customHeight="1">
      <c r="A105" s="20" t="n"/>
      <c r="B105" s="20" t="n"/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</row>
    <row r="106" ht="18" customHeight="1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  <c r="N106" s="21" t="n"/>
    </row>
    <row r="107" ht="18" customHeight="1">
      <c r="A107" s="20" t="n"/>
      <c r="B107" s="20" t="n"/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</row>
    <row r="108" ht="18" customHeight="1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  <c r="N108" s="21" t="n"/>
    </row>
    <row r="109" ht="18" customHeight="1">
      <c r="A109" s="20" t="n"/>
      <c r="B109" s="20" t="n"/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</row>
    <row r="110" ht="18" customHeight="1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  <c r="N110" s="21" t="n"/>
    </row>
    <row r="111" ht="18" customHeight="1">
      <c r="A111" s="20" t="n"/>
      <c r="B111" s="20" t="n"/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</row>
    <row r="112" ht="18" customHeight="1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  <c r="N112" s="21" t="n"/>
    </row>
    <row r="113" ht="18" customHeight="1">
      <c r="A113" s="20" t="n"/>
      <c r="B113" s="20" t="n"/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</row>
    <row r="114" ht="18" customHeight="1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  <c r="N114" s="21" t="n"/>
    </row>
    <row r="115" ht="18" customHeight="1">
      <c r="A115" s="20" t="n"/>
      <c r="B115" s="20" t="n"/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</row>
    <row r="116" ht="18" customHeight="1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  <c r="N116" s="21" t="n"/>
    </row>
    <row r="117" ht="18" customHeight="1">
      <c r="A117" s="20" t="n"/>
      <c r="B117" s="20" t="n"/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</row>
    <row r="118" ht="18" customHeight="1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  <c r="N118" s="21" t="n"/>
    </row>
    <row r="119" ht="18" customHeight="1">
      <c r="A119" s="20" t="n"/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</row>
    <row r="120" ht="18" customHeight="1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  <c r="N120" s="21" t="n"/>
    </row>
    <row r="121" ht="18" customHeight="1">
      <c r="A121" s="20" t="n"/>
      <c r="B121" s="20" t="n"/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</row>
    <row r="122" ht="18" customHeight="1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  <c r="N122" s="21" t="n"/>
    </row>
    <row r="123" ht="18" customHeight="1">
      <c r="A123" s="20" t="n"/>
      <c r="B123" s="20" t="n"/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</row>
    <row r="124" ht="18" customHeight="1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  <c r="N124" s="21" t="n"/>
    </row>
    <row r="125" ht="18" customHeight="1">
      <c r="A125" s="20" t="n"/>
      <c r="B125" s="20" t="n"/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</row>
    <row r="126" ht="18" customHeight="1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  <c r="N126" s="21" t="n"/>
    </row>
    <row r="127" ht="18" customHeight="1">
      <c r="A127" s="20" t="n"/>
      <c r="B127" s="20" t="n"/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</row>
    <row r="128" ht="18" customHeight="1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  <c r="N128" s="21" t="n"/>
    </row>
    <row r="129" ht="18" customHeight="1">
      <c r="A129" s="20" t="n"/>
      <c r="B129" s="20" t="n"/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</row>
    <row r="130" ht="18" customHeight="1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  <c r="N130" s="21" t="n"/>
    </row>
    <row r="131" ht="18" customHeight="1">
      <c r="A131" s="20" t="n"/>
      <c r="B131" s="20" t="n"/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</row>
    <row r="132" ht="18" customHeight="1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  <c r="N132" s="21" t="n"/>
    </row>
    <row r="133" ht="18" customHeight="1">
      <c r="A133" s="20" t="n"/>
      <c r="B133" s="20" t="n"/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</row>
    <row r="134" ht="18" customHeight="1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  <c r="N134" s="21" t="n"/>
    </row>
    <row r="135" ht="18" customHeight="1">
      <c r="A135" s="20" t="n"/>
      <c r="B135" s="20" t="n"/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</row>
    <row r="136" ht="18" customHeight="1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  <c r="N136" s="21" t="n"/>
    </row>
    <row r="137" ht="18" customHeight="1">
      <c r="A137" s="20" t="n"/>
      <c r="B137" s="20" t="n"/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</row>
    <row r="138" ht="18" customHeight="1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  <c r="N138" s="21" t="n"/>
    </row>
    <row r="139" ht="18" customHeight="1">
      <c r="A139" s="20" t="n"/>
      <c r="B139" s="20" t="n"/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</row>
    <row r="140" ht="18" customHeight="1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  <c r="N140" s="21" t="n"/>
    </row>
    <row r="141" ht="18" customHeight="1">
      <c r="A141" s="20" t="n"/>
      <c r="B141" s="20" t="n"/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</row>
    <row r="142" ht="18" customHeight="1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  <c r="N142" s="21" t="n"/>
    </row>
    <row r="143" ht="18" customHeight="1">
      <c r="A143" s="20" t="n"/>
      <c r="B143" s="20" t="n"/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</row>
    <row r="144" ht="18" customHeight="1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  <c r="N144" s="21" t="n"/>
    </row>
    <row r="145" ht="18" customHeight="1">
      <c r="A145" s="20" t="n"/>
      <c r="B145" s="20" t="n"/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</row>
    <row r="146" ht="18" customHeight="1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  <c r="N146" s="21" t="n"/>
    </row>
    <row r="147" ht="18" customHeight="1">
      <c r="A147" s="20" t="n"/>
      <c r="B147" s="20" t="n"/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</row>
    <row r="148" ht="18" customHeight="1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  <c r="N148" s="21" t="n"/>
    </row>
    <row r="149" ht="18" customHeight="1">
      <c r="A149" s="20" t="n"/>
      <c r="B149" s="20" t="n"/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</row>
    <row r="150" ht="18" customHeight="1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  <c r="N150" s="21" t="n"/>
    </row>
    <row r="151" ht="18" customHeight="1">
      <c r="A151" s="20" t="n"/>
      <c r="B151" s="20" t="n"/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</row>
    <row r="152" ht="18" customHeight="1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  <c r="N152" s="21" t="n"/>
    </row>
    <row r="153" ht="18" customHeight="1">
      <c r="A153" s="20" t="n"/>
      <c r="B153" s="20" t="n"/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</row>
    <row r="154" ht="18" customHeight="1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  <c r="N154" s="21" t="n"/>
    </row>
    <row r="155" ht="18" customHeight="1">
      <c r="A155" s="20" t="n"/>
      <c r="B155" s="20" t="n"/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</row>
    <row r="156" ht="18" customHeight="1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21" t="n"/>
      <c r="N156" s="21" t="n"/>
    </row>
    <row r="157" ht="18" customHeight="1">
      <c r="A157" s="20" t="n"/>
      <c r="B157" s="20" t="n"/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</row>
    <row r="158" ht="18" customHeight="1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21" t="n"/>
      <c r="N158" s="21" t="n"/>
    </row>
    <row r="159" ht="18" customHeight="1">
      <c r="A159" s="20" t="n"/>
      <c r="B159" s="20" t="n"/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</row>
    <row r="160" ht="18" customHeight="1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21" t="n"/>
      <c r="N160" s="21" t="n"/>
    </row>
    <row r="161" ht="18" customHeight="1">
      <c r="A161" s="20" t="n"/>
      <c r="B161" s="20" t="n"/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</row>
    <row r="162" ht="18" customHeight="1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21" t="n"/>
      <c r="N162" s="21" t="n"/>
    </row>
    <row r="163" ht="18" customHeight="1">
      <c r="A163" s="20" t="n"/>
      <c r="B163" s="20" t="n"/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</row>
    <row r="164" ht="18" customHeight="1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21" t="n"/>
      <c r="N164" s="21" t="n"/>
    </row>
    <row r="165" ht="18" customHeight="1">
      <c r="A165" s="20" t="n"/>
      <c r="B165" s="20" t="n"/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</row>
    <row r="166" ht="18" customHeight="1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21" t="n"/>
      <c r="N166" s="21" t="n"/>
    </row>
    <row r="167" ht="18" customHeight="1">
      <c r="A167" s="20" t="n"/>
      <c r="B167" s="20" t="n"/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</row>
    <row r="168" ht="18" customHeight="1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21" t="n"/>
      <c r="N168" s="21" t="n"/>
    </row>
    <row r="169" ht="18" customHeight="1">
      <c r="A169" s="20" t="n"/>
      <c r="B169" s="20" t="n"/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</row>
    <row r="170" ht="18" customHeight="1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21" t="n"/>
      <c r="N170" s="21" t="n"/>
    </row>
    <row r="171" ht="18" customHeight="1">
      <c r="A171" s="20" t="n"/>
      <c r="B171" s="20" t="n"/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</row>
    <row r="172" ht="18" customHeight="1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21" t="n"/>
      <c r="N172" s="21" t="n"/>
    </row>
    <row r="173" ht="18" customHeight="1">
      <c r="A173" s="20" t="n"/>
      <c r="B173" s="20" t="n"/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</row>
    <row r="174" ht="18" customHeight="1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21" t="n"/>
      <c r="N174" s="21" t="n"/>
    </row>
    <row r="175" ht="18" customHeight="1">
      <c r="A175" s="20" t="n"/>
      <c r="B175" s="20" t="n"/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</row>
    <row r="176" ht="18" customHeight="1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21" t="n"/>
      <c r="N176" s="21" t="n"/>
    </row>
    <row r="177" ht="18" customHeight="1">
      <c r="A177" s="20" t="n"/>
      <c r="B177" s="20" t="n"/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</row>
    <row r="178" ht="18" customHeight="1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21" t="n"/>
      <c r="N178" s="21" t="n"/>
    </row>
    <row r="179" ht="18" customHeight="1">
      <c r="A179" s="20" t="n"/>
      <c r="B179" s="20" t="n"/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</row>
    <row r="180" ht="18" customHeight="1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21" t="n"/>
      <c r="N180" s="21" t="n"/>
    </row>
    <row r="181" ht="18" customHeight="1">
      <c r="A181" s="20" t="n"/>
      <c r="B181" s="20" t="n"/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</row>
    <row r="182" ht="18" customHeight="1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21" t="n"/>
      <c r="N182" s="21" t="n"/>
    </row>
    <row r="183" ht="18" customHeight="1">
      <c r="A183" s="20" t="n"/>
      <c r="B183" s="20" t="n"/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</row>
    <row r="184" ht="18" customHeight="1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21" t="n"/>
      <c r="N184" s="21" t="n"/>
    </row>
    <row r="185" ht="18" customHeight="1">
      <c r="A185" s="20" t="n"/>
      <c r="B185" s="20" t="n"/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</row>
    <row r="186" ht="18" customHeight="1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21" t="n"/>
      <c r="N186" s="21" t="n"/>
    </row>
    <row r="187" ht="18" customHeight="1">
      <c r="A187" s="20" t="n"/>
      <c r="B187" s="20" t="n"/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</row>
    <row r="188" ht="18" customHeight="1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21" t="n"/>
      <c r="N188" s="21" t="n"/>
    </row>
    <row r="189" ht="18" customHeight="1">
      <c r="A189" s="20" t="n"/>
      <c r="B189" s="20" t="n"/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</row>
    <row r="190" ht="18" customHeight="1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21" t="n"/>
      <c r="N190" s="21" t="n"/>
    </row>
    <row r="191" ht="18" customHeight="1">
      <c r="A191" s="20" t="n"/>
      <c r="B191" s="20" t="n"/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</row>
    <row r="192" ht="18" customHeight="1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21" t="n"/>
      <c r="N192" s="21" t="n"/>
    </row>
    <row r="193" ht="18" customHeight="1">
      <c r="A193" s="20" t="n"/>
      <c r="B193" s="20" t="n"/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</row>
    <row r="194" ht="18" customHeight="1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21" t="n"/>
      <c r="N194" s="21" t="n"/>
    </row>
    <row r="195" ht="18" customHeight="1">
      <c r="A195" s="20" t="n"/>
      <c r="B195" s="20" t="n"/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</row>
    <row r="196" ht="18" customHeight="1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21" t="n"/>
      <c r="N196" s="21" t="n"/>
    </row>
    <row r="197" ht="18" customHeight="1">
      <c r="A197" s="20" t="n"/>
      <c r="B197" s="20" t="n"/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</row>
    <row r="198" ht="18" customHeight="1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21" t="n"/>
      <c r="N198" s="21" t="n"/>
    </row>
    <row r="199" ht="18" customHeight="1">
      <c r="A199" s="20" t="n"/>
      <c r="B199" s="20" t="n"/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</row>
    <row r="200" ht="18" customHeight="1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21" t="n"/>
      <c r="N200" s="21" t="n"/>
    </row>
    <row r="201" ht="18" customHeight="1">
      <c r="A201" s="20" t="n"/>
      <c r="B201" s="20" t="n"/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</row>
    <row r="202" ht="18" customHeight="1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21" t="n"/>
      <c r="N202" s="21" t="n"/>
    </row>
    <row r="203" ht="18" customHeight="1">
      <c r="A203" s="20" t="n"/>
      <c r="B203" s="20" t="n"/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</row>
    <row r="204" ht="18" customHeight="1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21" t="n"/>
      <c r="N204" s="21" t="n"/>
    </row>
    <row r="205" ht="18" customHeight="1">
      <c r="A205" s="20" t="n"/>
      <c r="B205" s="20" t="n"/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</row>
    <row r="206" ht="18" customHeight="1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21" t="n"/>
      <c r="N206" s="21" t="n"/>
    </row>
    <row r="207" ht="18" customHeight="1">
      <c r="A207" s="20" t="n"/>
      <c r="B207" s="20" t="n"/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</row>
    <row r="208" ht="18" customHeight="1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21" t="n"/>
      <c r="N208" s="21" t="n"/>
    </row>
    <row r="209" ht="18" customHeight="1">
      <c r="A209" s="20" t="n"/>
      <c r="B209" s="20" t="n"/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</row>
    <row r="210" ht="18" customHeight="1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21" t="n"/>
      <c r="N210" s="21" t="n"/>
    </row>
    <row r="211" ht="18" customHeight="1">
      <c r="A211" s="20" t="n"/>
      <c r="B211" s="20" t="n"/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</row>
    <row r="212" ht="18" customHeight="1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21" t="n"/>
      <c r="N212" s="21" t="n"/>
    </row>
    <row r="213" ht="18" customHeight="1">
      <c r="A213" s="20" t="n"/>
      <c r="B213" s="20" t="n"/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</row>
    <row r="214" ht="18" customHeight="1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21" t="n"/>
      <c r="N214" s="21" t="n"/>
    </row>
    <row r="215" ht="18" customHeight="1">
      <c r="A215" s="20" t="n"/>
      <c r="B215" s="20" t="n"/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</row>
    <row r="216" ht="18" customHeight="1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21" t="n"/>
      <c r="N216" s="21" t="n"/>
    </row>
    <row r="217" ht="18" customHeight="1">
      <c r="A217" s="20" t="n"/>
      <c r="B217" s="20" t="n"/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</row>
    <row r="218" ht="18" customHeight="1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21" t="n"/>
      <c r="N218" s="21" t="n"/>
    </row>
    <row r="219" ht="18" customHeight="1">
      <c r="A219" s="20" t="n"/>
      <c r="B219" s="20" t="n"/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</row>
    <row r="220" ht="18" customHeight="1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21" t="n"/>
      <c r="N220" s="21" t="n"/>
    </row>
    <row r="221" ht="18" customHeight="1">
      <c r="A221" s="20" t="n"/>
      <c r="B221" s="20" t="n"/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</row>
    <row r="222" ht="18" customHeight="1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21" t="n"/>
      <c r="N222" s="21" t="n"/>
    </row>
    <row r="223" ht="18" customHeight="1">
      <c r="A223" s="20" t="n"/>
      <c r="B223" s="20" t="n"/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</row>
    <row r="224" ht="18" customHeight="1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21" t="n"/>
      <c r="N224" s="21" t="n"/>
    </row>
    <row r="225" ht="18" customHeight="1">
      <c r="A225" s="20" t="n"/>
      <c r="B225" s="20" t="n"/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0" t="n"/>
      <c r="M225" s="20" t="n"/>
      <c r="N225" s="20" t="n"/>
    </row>
    <row r="226" ht="18" customHeight="1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21" t="n"/>
      <c r="N226" s="21" t="n"/>
    </row>
    <row r="227" ht="18" customHeight="1">
      <c r="A227" s="20" t="n"/>
      <c r="B227" s="20" t="n"/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0" t="n"/>
      <c r="M227" s="20" t="n"/>
      <c r="N227" s="20" t="n"/>
    </row>
    <row r="228" ht="18" customHeight="1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21" t="n"/>
      <c r="N228" s="21" t="n"/>
    </row>
    <row r="229" ht="18" customHeight="1">
      <c r="A229" s="20" t="n"/>
      <c r="B229" s="20" t="n"/>
      <c r="C229" s="20" t="n"/>
      <c r="D229" s="20" t="n"/>
      <c r="E229" s="20" t="n"/>
      <c r="F229" s="20" t="n"/>
      <c r="G229" s="20" t="n"/>
      <c r="H229" s="20" t="n"/>
      <c r="I229" s="20" t="n"/>
      <c r="J229" s="20" t="n"/>
      <c r="K229" s="20" t="n"/>
      <c r="L229" s="20" t="n"/>
      <c r="M229" s="20" t="n"/>
      <c r="N229" s="20" t="n"/>
    </row>
    <row r="230" ht="18" customHeight="1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21" t="n"/>
      <c r="N230" s="21" t="n"/>
    </row>
    <row r="231" ht="18" customHeight="1">
      <c r="A231" s="20" t="n"/>
      <c r="B231" s="20" t="n"/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0" t="n"/>
      <c r="M231" s="20" t="n"/>
      <c r="N231" s="20" t="n"/>
    </row>
    <row r="232" ht="18" customHeight="1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</row>
    <row r="233" ht="18" customHeight="1">
      <c r="A233" s="20" t="n"/>
      <c r="B233" s="20" t="n"/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n"/>
    </row>
    <row r="234" ht="18" customHeight="1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</row>
    <row r="235" ht="18" customHeight="1">
      <c r="A235" s="20" t="n"/>
      <c r="B235" s="20" t="n"/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0" t="n"/>
    </row>
    <row r="236" ht="18" customHeight="1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</row>
    <row r="237" ht="18" customHeight="1">
      <c r="A237" s="20" t="n"/>
      <c r="B237" s="20" t="n"/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0" t="n"/>
    </row>
    <row r="238" ht="18" customHeight="1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</row>
    <row r="239" ht="18" customHeight="1">
      <c r="A239" s="20" t="n"/>
      <c r="B239" s="20" t="n"/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0" t="n"/>
      <c r="M239" s="20" t="n"/>
      <c r="N239" s="20" t="n"/>
    </row>
    <row r="240" ht="18" customHeight="1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</row>
    <row r="241" ht="18" customHeight="1">
      <c r="A241" s="20" t="n"/>
      <c r="B241" s="20" t="n"/>
      <c r="C241" s="20" t="n"/>
      <c r="D241" s="20" t="n"/>
      <c r="E241" s="20" t="n"/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0" t="n"/>
    </row>
    <row r="242" ht="18" customHeight="1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</row>
    <row r="243" ht="18" customHeight="1">
      <c r="A243" s="20" t="n"/>
      <c r="B243" s="20" t="n"/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n"/>
      <c r="L243" s="20" t="n"/>
      <c r="M243" s="20" t="n"/>
      <c r="N243" s="20" t="n"/>
    </row>
    <row r="244" ht="18" customHeight="1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</row>
    <row r="245" ht="18" customHeight="1">
      <c r="A245" s="20" t="n"/>
      <c r="B245" s="20" t="n"/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0" t="n"/>
      <c r="M245" s="20" t="n"/>
      <c r="N245" s="20" t="n"/>
    </row>
    <row r="246" ht="18" customHeight="1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</row>
    <row r="247" ht="18" customHeight="1">
      <c r="A247" s="20" t="n"/>
      <c r="B247" s="20" t="n"/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0" t="n"/>
      <c r="M247" s="20" t="n"/>
      <c r="N247" s="20" t="n"/>
    </row>
    <row r="248" ht="18" customHeight="1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</row>
    <row r="249" ht="18" customHeight="1">
      <c r="A249" s="20" t="n"/>
      <c r="B249" s="20" t="n"/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0" t="n"/>
      <c r="M249" s="20" t="n"/>
      <c r="N249" s="20" t="n"/>
    </row>
    <row r="250" ht="18" customHeight="1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</row>
    <row r="251" ht="18" customHeight="1">
      <c r="A251" s="20" t="n"/>
      <c r="B251" s="20" t="n"/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n"/>
      <c r="L251" s="20" t="n"/>
      <c r="M251" s="20" t="n"/>
      <c r="N251" s="20" t="n"/>
    </row>
    <row r="252" ht="18" customHeight="1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</row>
    <row r="253" ht="18" customHeight="1">
      <c r="A253" s="20" t="n"/>
      <c r="B253" s="20" t="n"/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n"/>
      <c r="L253" s="20" t="n"/>
      <c r="M253" s="20" t="n"/>
      <c r="N253" s="20" t="n"/>
    </row>
    <row r="254" ht="18" customHeight="1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</row>
    <row r="255" ht="18" customHeight="1">
      <c r="A255" s="20" t="n"/>
      <c r="B255" s="20" t="n"/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0" t="n"/>
      <c r="M255" s="20" t="n"/>
      <c r="N255" s="20" t="n"/>
    </row>
    <row r="256" ht="18" customHeight="1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</row>
    <row r="257" ht="18" customHeight="1">
      <c r="A257" s="20" t="n"/>
      <c r="B257" s="20" t="n"/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</row>
    <row r="258" ht="18" customHeight="1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</row>
    <row r="259" ht="18" customHeight="1">
      <c r="A259" s="20" t="n"/>
      <c r="B259" s="20" t="n"/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</row>
    <row r="260" ht="18" customHeight="1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21" t="n"/>
      <c r="N260" s="21" t="n"/>
    </row>
    <row r="261" ht="18" customHeight="1">
      <c r="A261" s="20" t="n"/>
      <c r="B261" s="20" t="n"/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</row>
    <row r="262" ht="18" customHeight="1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21" t="n"/>
      <c r="N262" s="21" t="n"/>
    </row>
    <row r="263" ht="18" customHeight="1">
      <c r="A263" s="20" t="n"/>
      <c r="B263" s="20" t="n"/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</row>
    <row r="264" ht="18" customHeight="1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21" t="n"/>
      <c r="N264" s="21" t="n"/>
    </row>
    <row r="265" ht="18" customHeight="1">
      <c r="A265" s="20" t="n"/>
      <c r="B265" s="20" t="n"/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</row>
    <row r="266" ht="18" customHeight="1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21" t="n"/>
      <c r="N266" s="21" t="n"/>
    </row>
    <row r="267" ht="18" customHeight="1">
      <c r="A267" s="20" t="n"/>
      <c r="B267" s="20" t="n"/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</row>
    <row r="268" ht="18" customHeight="1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21" t="n"/>
      <c r="N268" s="21" t="n"/>
    </row>
    <row r="269" ht="18" customHeight="1">
      <c r="A269" s="20" t="n"/>
      <c r="B269" s="20" t="n"/>
      <c r="C269" s="20" t="n"/>
      <c r="D269" s="20" t="n"/>
      <c r="E269" s="20" t="n"/>
      <c r="F269" s="20" t="n"/>
      <c r="G269" s="20" t="n"/>
      <c r="H269" s="20" t="n"/>
      <c r="I269" s="20" t="n"/>
      <c r="J269" s="20" t="n"/>
      <c r="K269" s="20" t="n"/>
      <c r="L269" s="20" t="n"/>
      <c r="M269" s="20" t="n"/>
      <c r="N269" s="20" t="n"/>
    </row>
    <row r="270" ht="18" customHeight="1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21" t="n"/>
      <c r="N270" s="21" t="n"/>
    </row>
    <row r="271" ht="18" customHeight="1">
      <c r="A271" s="20" t="n"/>
      <c r="B271" s="20" t="n"/>
      <c r="C271" s="20" t="n"/>
      <c r="D271" s="20" t="n"/>
      <c r="E271" s="20" t="n"/>
      <c r="F271" s="20" t="n"/>
      <c r="G271" s="20" t="n"/>
      <c r="H271" s="20" t="n"/>
      <c r="I271" s="20" t="n"/>
      <c r="J271" s="20" t="n"/>
      <c r="K271" s="20" t="n"/>
      <c r="L271" s="20" t="n"/>
      <c r="M271" s="20" t="n"/>
      <c r="N271" s="20" t="n"/>
    </row>
    <row r="272" ht="18" customHeight="1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21" t="n"/>
      <c r="N272" s="21" t="n"/>
    </row>
    <row r="273" ht="18" customHeight="1">
      <c r="A273" s="20" t="n"/>
      <c r="B273" s="20" t="n"/>
      <c r="C273" s="20" t="n"/>
      <c r="D273" s="20" t="n"/>
      <c r="E273" s="20" t="n"/>
      <c r="F273" s="20" t="n"/>
      <c r="G273" s="20" t="n"/>
      <c r="H273" s="20" t="n"/>
      <c r="I273" s="20" t="n"/>
      <c r="J273" s="20" t="n"/>
      <c r="K273" s="20" t="n"/>
      <c r="L273" s="20" t="n"/>
      <c r="M273" s="20" t="n"/>
      <c r="N273" s="20" t="n"/>
    </row>
    <row r="274" ht="18" customHeight="1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21" t="n"/>
      <c r="N274" s="21" t="n"/>
    </row>
    <row r="275" ht="18" customHeight="1">
      <c r="A275" s="20" t="n"/>
      <c r="B275" s="20" t="n"/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</row>
    <row r="276" ht="18" customHeight="1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21" t="n"/>
      <c r="N276" s="21" t="n"/>
    </row>
    <row r="277" ht="18" customHeight="1">
      <c r="A277" s="20" t="n"/>
      <c r="B277" s="20" t="n"/>
      <c r="C277" s="20" t="n"/>
      <c r="D277" s="20" t="n"/>
      <c r="E277" s="20" t="n"/>
      <c r="F277" s="20" t="n"/>
      <c r="G277" s="20" t="n"/>
      <c r="H277" s="20" t="n"/>
      <c r="I277" s="20" t="n"/>
      <c r="J277" s="20" t="n"/>
      <c r="K277" s="20" t="n"/>
      <c r="L277" s="20" t="n"/>
      <c r="M277" s="20" t="n"/>
      <c r="N277" s="20" t="n"/>
    </row>
    <row r="278" ht="18" customHeight="1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21" t="n"/>
      <c r="N278" s="21" t="n"/>
    </row>
    <row r="279" ht="18" customHeight="1">
      <c r="A279" s="20" t="n"/>
      <c r="B279" s="20" t="n"/>
      <c r="C279" s="20" t="n"/>
      <c r="D279" s="20" t="n"/>
      <c r="E279" s="20" t="n"/>
      <c r="F279" s="20" t="n"/>
      <c r="G279" s="20" t="n"/>
      <c r="H279" s="20" t="n"/>
      <c r="I279" s="20" t="n"/>
      <c r="J279" s="20" t="n"/>
      <c r="K279" s="20" t="n"/>
      <c r="L279" s="20" t="n"/>
      <c r="M279" s="20" t="n"/>
      <c r="N279" s="20" t="n"/>
    </row>
    <row r="280" ht="18" customHeight="1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21" t="n"/>
      <c r="N280" s="21" t="n"/>
    </row>
    <row r="281" ht="18" customHeight="1">
      <c r="A281" s="20" t="n"/>
      <c r="B281" s="20" t="n"/>
      <c r="C281" s="20" t="n"/>
      <c r="D281" s="20" t="n"/>
      <c r="E281" s="20" t="n"/>
      <c r="F281" s="20" t="n"/>
      <c r="G281" s="20" t="n"/>
      <c r="H281" s="20" t="n"/>
      <c r="I281" s="20" t="n"/>
      <c r="J281" s="20" t="n"/>
      <c r="K281" s="20" t="n"/>
      <c r="L281" s="20" t="n"/>
      <c r="M281" s="20" t="n"/>
      <c r="N281" s="20" t="n"/>
    </row>
    <row r="282" ht="18" customHeight="1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21" t="n"/>
      <c r="N282" s="21" t="n"/>
    </row>
    <row r="283" ht="18" customHeight="1">
      <c r="A283" s="20" t="n"/>
      <c r="B283" s="20" t="n"/>
      <c r="C283" s="20" t="n"/>
      <c r="D283" s="20" t="n"/>
      <c r="E283" s="20" t="n"/>
      <c r="F283" s="20" t="n"/>
      <c r="G283" s="20" t="n"/>
      <c r="H283" s="20" t="n"/>
      <c r="I283" s="20" t="n"/>
      <c r="J283" s="20" t="n"/>
      <c r="K283" s="20" t="n"/>
      <c r="L283" s="20" t="n"/>
      <c r="M283" s="20" t="n"/>
      <c r="N283" s="20" t="n"/>
    </row>
    <row r="284" ht="18" customHeight="1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21" t="n"/>
      <c r="N284" s="21" t="n"/>
    </row>
    <row r="285" ht="18" customHeight="1">
      <c r="A285" s="20" t="n"/>
      <c r="B285" s="20" t="n"/>
      <c r="C285" s="20" t="n"/>
      <c r="D285" s="20" t="n"/>
      <c r="E285" s="20" t="n"/>
      <c r="F285" s="20" t="n"/>
      <c r="G285" s="20" t="n"/>
      <c r="H285" s="20" t="n"/>
      <c r="I285" s="20" t="n"/>
      <c r="J285" s="20" t="n"/>
      <c r="K285" s="20" t="n"/>
      <c r="L285" s="20" t="n"/>
      <c r="M285" s="20" t="n"/>
      <c r="N285" s="20" t="n"/>
    </row>
    <row r="286" ht="18" customHeight="1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21" t="n"/>
      <c r="N286" s="21" t="n"/>
    </row>
    <row r="287" ht="18" customHeight="1">
      <c r="A287" s="20" t="n"/>
      <c r="B287" s="20" t="n"/>
      <c r="C287" s="20" t="n"/>
      <c r="D287" s="20" t="n"/>
      <c r="E287" s="20" t="n"/>
      <c r="F287" s="20" t="n"/>
      <c r="G287" s="20" t="n"/>
      <c r="H287" s="20" t="n"/>
      <c r="I287" s="20" t="n"/>
      <c r="J287" s="20" t="n"/>
      <c r="K287" s="20" t="n"/>
      <c r="L287" s="20" t="n"/>
      <c r="M287" s="20" t="n"/>
      <c r="N287" s="20" t="n"/>
    </row>
    <row r="288" ht="18" customHeight="1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21" t="n"/>
      <c r="N288" s="21" t="n"/>
    </row>
    <row r="289" ht="18" customHeight="1">
      <c r="A289" s="20" t="n"/>
      <c r="B289" s="20" t="n"/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</row>
    <row r="290" ht="18" customHeight="1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21" t="n"/>
      <c r="N290" s="21" t="n"/>
    </row>
    <row r="291" ht="18" customHeight="1">
      <c r="A291" s="20" t="n"/>
      <c r="B291" s="20" t="n"/>
      <c r="C291" s="20" t="n"/>
      <c r="D291" s="20" t="n"/>
      <c r="E291" s="20" t="n"/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</row>
    <row r="292" ht="18" customHeight="1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21" t="n"/>
      <c r="N292" s="21" t="n"/>
    </row>
    <row r="293" ht="18" customHeight="1">
      <c r="A293" s="20" t="n"/>
      <c r="B293" s="20" t="n"/>
      <c r="C293" s="20" t="n"/>
      <c r="D293" s="20" t="n"/>
      <c r="E293" s="20" t="n"/>
      <c r="F293" s="20" t="n"/>
      <c r="G293" s="20" t="n"/>
      <c r="H293" s="20" t="n"/>
      <c r="I293" s="20" t="n"/>
      <c r="J293" s="20" t="n"/>
      <c r="K293" s="20" t="n"/>
      <c r="L293" s="20" t="n"/>
      <c r="M293" s="20" t="n"/>
      <c r="N293" s="20" t="n"/>
    </row>
    <row r="294" ht="18" customHeight="1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21" t="n"/>
      <c r="N294" s="21" t="n"/>
    </row>
    <row r="295" ht="18" customHeight="1">
      <c r="A295" s="20" t="n"/>
      <c r="B295" s="20" t="n"/>
      <c r="C295" s="20" t="n"/>
      <c r="D295" s="20" t="n"/>
      <c r="E295" s="20" t="n"/>
      <c r="F295" s="20" t="n"/>
      <c r="G295" s="20" t="n"/>
      <c r="H295" s="20" t="n"/>
      <c r="I295" s="20" t="n"/>
      <c r="J295" s="20" t="n"/>
      <c r="K295" s="20" t="n"/>
      <c r="L295" s="20" t="n"/>
      <c r="M295" s="20" t="n"/>
      <c r="N295" s="20" t="n"/>
    </row>
    <row r="296" ht="18" customHeight="1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21" t="n"/>
      <c r="N296" s="21" t="n"/>
    </row>
    <row r="297" ht="18" customHeight="1">
      <c r="A297" s="20" t="n"/>
      <c r="B297" s="20" t="n"/>
      <c r="C297" s="20" t="n"/>
      <c r="D297" s="20" t="n"/>
      <c r="E297" s="20" t="n"/>
      <c r="F297" s="20" t="n"/>
      <c r="G297" s="20" t="n"/>
      <c r="H297" s="20" t="n"/>
      <c r="I297" s="20" t="n"/>
      <c r="J297" s="20" t="n"/>
      <c r="K297" s="20" t="n"/>
      <c r="L297" s="20" t="n"/>
      <c r="M297" s="20" t="n"/>
      <c r="N297" s="20" t="n"/>
    </row>
    <row r="298" ht="18" customHeight="1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21" t="n"/>
      <c r="N298" s="21" t="n"/>
    </row>
    <row r="299" ht="18" customHeight="1">
      <c r="A299" s="20" t="n"/>
      <c r="B299" s="20" t="n"/>
      <c r="C299" s="20" t="n"/>
      <c r="D299" s="20" t="n"/>
      <c r="E299" s="20" t="n"/>
      <c r="F299" s="20" t="n"/>
      <c r="G299" s="20" t="n"/>
      <c r="H299" s="20" t="n"/>
      <c r="I299" s="20" t="n"/>
      <c r="J299" s="20" t="n"/>
      <c r="K299" s="20" t="n"/>
      <c r="L299" s="20" t="n"/>
      <c r="M299" s="20" t="n"/>
      <c r="N299" s="20" t="n"/>
    </row>
    <row r="300" ht="18" customHeight="1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21" t="n"/>
      <c r="N300" s="21" t="n"/>
    </row>
    <row r="301" ht="18" customHeight="1">
      <c r="A301" s="20" t="n"/>
      <c r="B301" s="20" t="n"/>
      <c r="C301" s="20" t="n"/>
      <c r="D301" s="20" t="n"/>
      <c r="E301" s="20" t="n"/>
      <c r="F301" s="20" t="n"/>
      <c r="G301" s="20" t="n"/>
      <c r="H301" s="20" t="n"/>
      <c r="I301" s="20" t="n"/>
      <c r="J301" s="20" t="n"/>
      <c r="K301" s="20" t="n"/>
      <c r="L301" s="20" t="n"/>
      <c r="M301" s="20" t="n"/>
      <c r="N301" s="20" t="n"/>
    </row>
    <row r="302" ht="18" customHeight="1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21" t="n"/>
      <c r="N302" s="21" t="n"/>
    </row>
    <row r="303" ht="18" customHeight="1">
      <c r="A303" s="20" t="n"/>
      <c r="B303" s="20" t="n"/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</row>
    <row r="304" ht="18" customHeight="1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21" t="n"/>
      <c r="N304" s="21" t="n"/>
    </row>
    <row r="305" ht="18" customHeight="1">
      <c r="A305" s="20" t="n"/>
      <c r="B305" s="20" t="n"/>
      <c r="C305" s="20" t="n"/>
      <c r="D305" s="20" t="n"/>
      <c r="E305" s="20" t="n"/>
      <c r="F305" s="20" t="n"/>
      <c r="G305" s="20" t="n"/>
      <c r="H305" s="20" t="n"/>
      <c r="I305" s="20" t="n"/>
      <c r="J305" s="20" t="n"/>
      <c r="K305" s="20" t="n"/>
      <c r="L305" s="20" t="n"/>
      <c r="M305" s="20" t="n"/>
      <c r="N305" s="20" t="n"/>
    </row>
    <row r="306" ht="18" customHeight="1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21" t="n"/>
      <c r="N306" s="21" t="n"/>
    </row>
    <row r="307" ht="18" customHeight="1">
      <c r="A307" s="20" t="n"/>
      <c r="B307" s="20" t="n"/>
      <c r="C307" s="20" t="n"/>
      <c r="D307" s="20" t="n"/>
      <c r="E307" s="20" t="n"/>
      <c r="F307" s="20" t="n"/>
      <c r="G307" s="20" t="n"/>
      <c r="H307" s="20" t="n"/>
      <c r="I307" s="20" t="n"/>
      <c r="J307" s="20" t="n"/>
      <c r="K307" s="20" t="n"/>
      <c r="L307" s="20" t="n"/>
      <c r="M307" s="20" t="n"/>
      <c r="N307" s="20" t="n"/>
    </row>
    <row r="308" ht="18" customHeight="1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21" t="n"/>
      <c r="N308" s="21" t="n"/>
    </row>
    <row r="309" ht="18" customHeight="1">
      <c r="A309" s="20" t="n"/>
      <c r="B309" s="20" t="n"/>
      <c r="C309" s="20" t="n"/>
      <c r="D309" s="20" t="n"/>
      <c r="E309" s="20" t="n"/>
      <c r="F309" s="20" t="n"/>
      <c r="G309" s="20" t="n"/>
      <c r="H309" s="20" t="n"/>
      <c r="I309" s="20" t="n"/>
      <c r="J309" s="20" t="n"/>
      <c r="K309" s="20" t="n"/>
      <c r="L309" s="20" t="n"/>
      <c r="M309" s="20" t="n"/>
      <c r="N309" s="20" t="n"/>
    </row>
    <row r="310" ht="18" customHeight="1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21" t="n"/>
      <c r="N310" s="21" t="n"/>
    </row>
    <row r="311" ht="18" customHeight="1">
      <c r="A311" s="20" t="n"/>
      <c r="B311" s="20" t="n"/>
      <c r="C311" s="20" t="n"/>
      <c r="D311" s="20" t="n"/>
      <c r="E311" s="20" t="n"/>
      <c r="F311" s="20" t="n"/>
      <c r="G311" s="20" t="n"/>
      <c r="H311" s="20" t="n"/>
      <c r="I311" s="20" t="n"/>
      <c r="J311" s="20" t="n"/>
      <c r="K311" s="20" t="n"/>
      <c r="L311" s="20" t="n"/>
      <c r="M311" s="20" t="n"/>
      <c r="N311" s="20" t="n"/>
    </row>
    <row r="312" ht="18" customHeight="1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21" t="n"/>
      <c r="N312" s="21" t="n"/>
    </row>
    <row r="313" ht="18" customHeight="1">
      <c r="A313" s="20" t="n"/>
      <c r="B313" s="20" t="n"/>
      <c r="C313" s="20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20" t="n"/>
      <c r="N313" s="20" t="n"/>
    </row>
    <row r="314" ht="18" customHeight="1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21" t="n"/>
      <c r="N314" s="21" t="n"/>
    </row>
    <row r="315" ht="18" customHeight="1">
      <c r="A315" s="20" t="n"/>
      <c r="B315" s="20" t="n"/>
      <c r="C315" s="20" t="n"/>
      <c r="D315" s="20" t="n"/>
      <c r="E315" s="20" t="n"/>
      <c r="F315" s="20" t="n"/>
      <c r="G315" s="20" t="n"/>
      <c r="H315" s="20" t="n"/>
      <c r="I315" s="20" t="n"/>
      <c r="J315" s="20" t="n"/>
      <c r="K315" s="20" t="n"/>
      <c r="L315" s="20" t="n"/>
      <c r="M315" s="20" t="n"/>
      <c r="N315" s="20" t="n"/>
    </row>
    <row r="316" ht="18" customHeight="1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21" t="n"/>
      <c r="N316" s="21" t="n"/>
    </row>
    <row r="317" ht="18" customHeight="1">
      <c r="A317" s="20" t="n"/>
      <c r="B317" s="20" t="n"/>
      <c r="C317" s="20" t="n"/>
      <c r="D317" s="20" t="n"/>
      <c r="E317" s="20" t="n"/>
      <c r="F317" s="20" t="n"/>
      <c r="G317" s="20" t="n"/>
      <c r="H317" s="20" t="n"/>
      <c r="I317" s="20" t="n"/>
      <c r="J317" s="20" t="n"/>
      <c r="K317" s="20" t="n"/>
      <c r="L317" s="20" t="n"/>
      <c r="M317" s="20" t="n"/>
      <c r="N317" s="20" t="n"/>
    </row>
    <row r="318" ht="18" customHeight="1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21" t="n"/>
      <c r="N318" s="21" t="n"/>
    </row>
    <row r="319" ht="18" customHeight="1">
      <c r="A319" s="20" t="n"/>
      <c r="B319" s="20" t="n"/>
      <c r="C319" s="20" t="n"/>
      <c r="D319" s="20" t="n"/>
      <c r="E319" s="20" t="n"/>
      <c r="F319" s="20" t="n"/>
      <c r="G319" s="20" t="n"/>
      <c r="H319" s="20" t="n"/>
      <c r="I319" s="20" t="n"/>
      <c r="J319" s="20" t="n"/>
      <c r="K319" s="20" t="n"/>
      <c r="L319" s="20" t="n"/>
      <c r="M319" s="20" t="n"/>
      <c r="N319" s="20" t="n"/>
    </row>
    <row r="320" ht="18" customHeight="1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21" t="n"/>
      <c r="N320" s="21" t="n"/>
    </row>
    <row r="321" ht="18" customHeight="1">
      <c r="A321" s="20" t="n"/>
      <c r="B321" s="20" t="n"/>
      <c r="C321" s="20" t="n"/>
      <c r="D321" s="20" t="n"/>
      <c r="E321" s="20" t="n"/>
      <c r="F321" s="20" t="n"/>
      <c r="G321" s="20" t="n"/>
      <c r="H321" s="20" t="n"/>
      <c r="I321" s="20" t="n"/>
      <c r="J321" s="20" t="n"/>
      <c r="K321" s="20" t="n"/>
      <c r="L321" s="20" t="n"/>
      <c r="M321" s="20" t="n"/>
      <c r="N321" s="20" t="n"/>
    </row>
    <row r="322" ht="18" customHeight="1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21" t="n"/>
      <c r="N322" s="21" t="n"/>
    </row>
    <row r="323" ht="18" customHeight="1">
      <c r="A323" s="20" t="n"/>
      <c r="B323" s="20" t="n"/>
      <c r="C323" s="20" t="n"/>
      <c r="D323" s="20" t="n"/>
      <c r="E323" s="20" t="n"/>
      <c r="F323" s="20" t="n"/>
      <c r="G323" s="20" t="n"/>
      <c r="H323" s="20" t="n"/>
      <c r="I323" s="20" t="n"/>
      <c r="J323" s="20" t="n"/>
      <c r="K323" s="20" t="n"/>
      <c r="L323" s="20" t="n"/>
      <c r="M323" s="20" t="n"/>
      <c r="N323" s="20" t="n"/>
    </row>
    <row r="324" ht="18" customHeight="1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21" t="n"/>
      <c r="N324" s="21" t="n"/>
    </row>
    <row r="325" ht="18" customHeight="1">
      <c r="A325" s="20" t="n"/>
      <c r="B325" s="20" t="n"/>
      <c r="C325" s="20" t="n"/>
      <c r="D325" s="20" t="n"/>
      <c r="E325" s="20" t="n"/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n"/>
    </row>
    <row r="326" ht="18" customHeight="1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21" t="n"/>
      <c r="N326" s="21" t="n"/>
    </row>
    <row r="327" ht="18" customHeight="1">
      <c r="A327" s="20" t="n"/>
      <c r="B327" s="20" t="n"/>
      <c r="C327" s="20" t="n"/>
      <c r="D327" s="20" t="n"/>
      <c r="E327" s="20" t="n"/>
      <c r="F327" s="20" t="n"/>
      <c r="G327" s="20" t="n"/>
      <c r="H327" s="20" t="n"/>
      <c r="I327" s="20" t="n"/>
      <c r="J327" s="20" t="n"/>
      <c r="K327" s="20" t="n"/>
      <c r="L327" s="20" t="n"/>
      <c r="M327" s="20" t="n"/>
      <c r="N327" s="20" t="n"/>
    </row>
    <row r="328" ht="18" customHeight="1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21" t="n"/>
      <c r="N328" s="21" t="n"/>
    </row>
    <row r="329" ht="18" customHeight="1">
      <c r="A329" s="20" t="n"/>
      <c r="B329" s="20" t="n"/>
      <c r="C329" s="20" t="n"/>
      <c r="D329" s="20" t="n"/>
      <c r="E329" s="20" t="n"/>
      <c r="F329" s="20" t="n"/>
      <c r="G329" s="20" t="n"/>
      <c r="H329" s="20" t="n"/>
      <c r="I329" s="20" t="n"/>
      <c r="J329" s="20" t="n"/>
      <c r="K329" s="20" t="n"/>
      <c r="L329" s="20" t="n"/>
      <c r="M329" s="20" t="n"/>
      <c r="N329" s="20" t="n"/>
    </row>
    <row r="330" ht="18" customHeight="1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21" t="n"/>
      <c r="N330" s="21" t="n"/>
    </row>
    <row r="331" ht="18" customHeight="1">
      <c r="A331" s="20" t="n"/>
      <c r="B331" s="20" t="n"/>
      <c r="C331" s="20" t="n"/>
      <c r="D331" s="20" t="n"/>
      <c r="E331" s="20" t="n"/>
      <c r="F331" s="20" t="n"/>
      <c r="G331" s="20" t="n"/>
      <c r="H331" s="20" t="n"/>
      <c r="I331" s="20" t="n"/>
      <c r="J331" s="20" t="n"/>
      <c r="K331" s="20" t="n"/>
      <c r="L331" s="20" t="n"/>
      <c r="M331" s="20" t="n"/>
      <c r="N331" s="20" t="n"/>
    </row>
    <row r="332" ht="18" customHeight="1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21" t="n"/>
      <c r="N332" s="21" t="n"/>
    </row>
    <row r="333" ht="18" customHeight="1">
      <c r="A333" s="20" t="n"/>
      <c r="B333" s="20" t="n"/>
      <c r="C333" s="20" t="n"/>
      <c r="D333" s="20" t="n"/>
      <c r="E333" s="20" t="n"/>
      <c r="F333" s="20" t="n"/>
      <c r="G333" s="20" t="n"/>
      <c r="H333" s="20" t="n"/>
      <c r="I333" s="20" t="n"/>
      <c r="J333" s="20" t="n"/>
      <c r="K333" s="20" t="n"/>
      <c r="L333" s="20" t="n"/>
      <c r="M333" s="20" t="n"/>
      <c r="N333" s="20" t="n"/>
    </row>
    <row r="334" ht="18" customHeight="1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21" t="n"/>
      <c r="N334" s="21" t="n"/>
    </row>
    <row r="335" ht="18" customHeight="1">
      <c r="A335" s="20" t="n"/>
      <c r="B335" s="20" t="n"/>
      <c r="C335" s="20" t="n"/>
      <c r="D335" s="20" t="n"/>
      <c r="E335" s="20" t="n"/>
      <c r="F335" s="20" t="n"/>
      <c r="G335" s="20" t="n"/>
      <c r="H335" s="20" t="n"/>
      <c r="I335" s="20" t="n"/>
      <c r="J335" s="20" t="n"/>
      <c r="K335" s="20" t="n"/>
      <c r="L335" s="20" t="n"/>
      <c r="M335" s="20" t="n"/>
      <c r="N335" s="20" t="n"/>
    </row>
    <row r="336" ht="18" customHeight="1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21" t="n"/>
      <c r="N336" s="21" t="n"/>
    </row>
    <row r="337" ht="18" customHeight="1">
      <c r="A337" s="20" t="n"/>
      <c r="B337" s="20" t="n"/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</row>
    <row r="338" ht="18" customHeight="1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21" t="n"/>
      <c r="N338" s="21" t="n"/>
    </row>
    <row r="339" ht="18" customHeight="1">
      <c r="A339" s="20" t="n"/>
      <c r="B339" s="20" t="n"/>
      <c r="C339" s="20" t="n"/>
      <c r="D339" s="20" t="n"/>
      <c r="E339" s="20" t="n"/>
      <c r="F339" s="20" t="n"/>
      <c r="G339" s="20" t="n"/>
      <c r="H339" s="20" t="n"/>
      <c r="I339" s="20" t="n"/>
      <c r="J339" s="20" t="n"/>
      <c r="K339" s="20" t="n"/>
      <c r="L339" s="20" t="n"/>
      <c r="M339" s="20" t="n"/>
      <c r="N339" s="20" t="n"/>
    </row>
    <row r="340" ht="18" customHeight="1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21" t="n"/>
      <c r="N340" s="21" t="n"/>
    </row>
    <row r="341" ht="18" customHeight="1">
      <c r="A341" s="20" t="n"/>
      <c r="B341" s="20" t="n"/>
      <c r="C341" s="20" t="n"/>
      <c r="D341" s="20" t="n"/>
      <c r="E341" s="20" t="n"/>
      <c r="F341" s="20" t="n"/>
      <c r="G341" s="20" t="n"/>
      <c r="H341" s="20" t="n"/>
      <c r="I341" s="20" t="n"/>
      <c r="J341" s="20" t="n"/>
      <c r="K341" s="20" t="n"/>
      <c r="L341" s="20" t="n"/>
      <c r="M341" s="20" t="n"/>
      <c r="N341" s="20" t="n"/>
    </row>
    <row r="342" ht="18" customHeight="1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21" t="n"/>
      <c r="N342" s="21" t="n"/>
    </row>
    <row r="343" ht="18" customHeight="1">
      <c r="A343" s="20" t="n"/>
      <c r="B343" s="20" t="n"/>
      <c r="C343" s="20" t="n"/>
      <c r="D343" s="20" t="n"/>
      <c r="E343" s="20" t="n"/>
      <c r="F343" s="20" t="n"/>
      <c r="G343" s="20" t="n"/>
      <c r="H343" s="20" t="n"/>
      <c r="I343" s="20" t="n"/>
      <c r="J343" s="20" t="n"/>
      <c r="K343" s="20" t="n"/>
      <c r="L343" s="20" t="n"/>
      <c r="M343" s="20" t="n"/>
      <c r="N343" s="20" t="n"/>
    </row>
    <row r="344" ht="18" customHeight="1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21" t="n"/>
      <c r="N344" s="21" t="n"/>
    </row>
    <row r="345" ht="18" customHeight="1">
      <c r="A345" s="20" t="n"/>
      <c r="B345" s="20" t="n"/>
      <c r="C345" s="20" t="n"/>
      <c r="D345" s="20" t="n"/>
      <c r="E345" s="20" t="n"/>
      <c r="F345" s="20" t="n"/>
      <c r="G345" s="20" t="n"/>
      <c r="H345" s="20" t="n"/>
      <c r="I345" s="20" t="n"/>
      <c r="J345" s="20" t="n"/>
      <c r="K345" s="20" t="n"/>
      <c r="L345" s="20" t="n"/>
      <c r="M345" s="20" t="n"/>
      <c r="N345" s="20" t="n"/>
    </row>
    <row r="346" ht="18" customHeight="1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21" t="n"/>
      <c r="N346" s="21" t="n"/>
    </row>
    <row r="347" ht="18" customHeight="1">
      <c r="A347" s="20" t="n"/>
      <c r="B347" s="20" t="n"/>
      <c r="C347" s="20" t="n"/>
      <c r="D347" s="20" t="n"/>
      <c r="E347" s="20" t="n"/>
      <c r="F347" s="20" t="n"/>
      <c r="G347" s="20" t="n"/>
      <c r="H347" s="20" t="n"/>
      <c r="I347" s="20" t="n"/>
      <c r="J347" s="20" t="n"/>
      <c r="K347" s="20" t="n"/>
      <c r="L347" s="20" t="n"/>
      <c r="M347" s="20" t="n"/>
      <c r="N347" s="20" t="n"/>
    </row>
    <row r="348" ht="18" customHeight="1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21" t="n"/>
      <c r="N348" s="21" t="n"/>
    </row>
    <row r="349" ht="18" customHeight="1">
      <c r="A349" s="20" t="n"/>
      <c r="B349" s="20" t="n"/>
      <c r="C349" s="20" t="n"/>
      <c r="D349" s="20" t="n"/>
      <c r="E349" s="20" t="n"/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n"/>
    </row>
    <row r="350" ht="18" customHeight="1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21" t="n"/>
      <c r="N350" s="21" t="n"/>
    </row>
    <row r="351" ht="18" customHeight="1">
      <c r="A351" s="20" t="n"/>
      <c r="B351" s="20" t="n"/>
      <c r="C351" s="20" t="n"/>
      <c r="D351" s="20" t="n"/>
      <c r="E351" s="20" t="n"/>
      <c r="F351" s="20" t="n"/>
      <c r="G351" s="20" t="n"/>
      <c r="H351" s="20" t="n"/>
      <c r="I351" s="20" t="n"/>
      <c r="J351" s="20" t="n"/>
      <c r="K351" s="20" t="n"/>
      <c r="L351" s="20" t="n"/>
      <c r="M351" s="20" t="n"/>
      <c r="N351" s="20" t="n"/>
    </row>
    <row r="352" ht="18" customHeight="1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21" t="n"/>
      <c r="N352" s="21" t="n"/>
    </row>
    <row r="353" ht="18" customHeight="1">
      <c r="A353" s="20" t="n"/>
      <c r="B353" s="20" t="n"/>
      <c r="C353" s="20" t="n"/>
      <c r="D353" s="20" t="n"/>
      <c r="E353" s="20" t="n"/>
      <c r="F353" s="20" t="n"/>
      <c r="G353" s="20" t="n"/>
      <c r="H353" s="20" t="n"/>
      <c r="I353" s="20" t="n"/>
      <c r="J353" s="20" t="n"/>
      <c r="K353" s="20" t="n"/>
      <c r="L353" s="20" t="n"/>
      <c r="M353" s="20" t="n"/>
      <c r="N353" s="20" t="n"/>
    </row>
    <row r="354" ht="18" customHeight="1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21" t="n"/>
      <c r="N354" s="21" t="n"/>
    </row>
    <row r="355" ht="18" customHeight="1">
      <c r="A355" s="20" t="n"/>
      <c r="B355" s="20" t="n"/>
      <c r="C355" s="20" t="n"/>
      <c r="D355" s="20" t="n"/>
      <c r="E355" s="20" t="n"/>
      <c r="F355" s="20" t="n"/>
      <c r="G355" s="20" t="n"/>
      <c r="H355" s="20" t="n"/>
      <c r="I355" s="20" t="n"/>
      <c r="J355" s="20" t="n"/>
      <c r="K355" s="20" t="n"/>
      <c r="L355" s="20" t="n"/>
      <c r="M355" s="20" t="n"/>
      <c r="N355" s="20" t="n"/>
    </row>
    <row r="356" ht="18" customHeight="1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21" t="n"/>
      <c r="N356" s="21" t="n"/>
    </row>
    <row r="357" ht="18" customHeight="1">
      <c r="A357" s="20" t="n"/>
      <c r="B357" s="20" t="n"/>
      <c r="C357" s="20" t="n"/>
      <c r="D357" s="20" t="n"/>
      <c r="E357" s="20" t="n"/>
      <c r="F357" s="20" t="n"/>
      <c r="G357" s="20" t="n"/>
      <c r="H357" s="20" t="n"/>
      <c r="I357" s="20" t="n"/>
      <c r="J357" s="20" t="n"/>
      <c r="K357" s="20" t="n"/>
      <c r="L357" s="20" t="n"/>
      <c r="M357" s="20" t="n"/>
      <c r="N357" s="20" t="n"/>
    </row>
    <row r="358" ht="18" customHeight="1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21" t="n"/>
      <c r="N358" s="21" t="n"/>
    </row>
    <row r="359" ht="18" customHeight="1">
      <c r="A359" s="20" t="n"/>
      <c r="B359" s="20" t="n"/>
      <c r="C359" s="20" t="n"/>
      <c r="D359" s="20" t="n"/>
      <c r="E359" s="20" t="n"/>
      <c r="F359" s="20" t="n"/>
      <c r="G359" s="20" t="n"/>
      <c r="H359" s="20" t="n"/>
      <c r="I359" s="20" t="n"/>
      <c r="J359" s="20" t="n"/>
      <c r="K359" s="20" t="n"/>
      <c r="L359" s="20" t="n"/>
      <c r="M359" s="20" t="n"/>
      <c r="N359" s="20" t="n"/>
    </row>
    <row r="360" ht="18" customHeight="1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21" t="n"/>
      <c r="N360" s="21" t="n"/>
    </row>
    <row r="361" ht="18" customHeight="1">
      <c r="A361" s="20" t="n"/>
      <c r="B361" s="20" t="n"/>
      <c r="C361" s="20" t="n"/>
      <c r="D361" s="20" t="n"/>
      <c r="E361" s="20" t="n"/>
      <c r="F361" s="20" t="n"/>
      <c r="G361" s="20" t="n"/>
      <c r="H361" s="20" t="n"/>
      <c r="I361" s="20" t="n"/>
      <c r="J361" s="20" t="n"/>
      <c r="K361" s="20" t="n"/>
      <c r="L361" s="20" t="n"/>
      <c r="M361" s="20" t="n"/>
      <c r="N361" s="20" t="n"/>
    </row>
    <row r="362" ht="18" customHeight="1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21" t="n"/>
      <c r="N362" s="21" t="n"/>
    </row>
    <row r="363" ht="18" customHeight="1">
      <c r="A363" s="20" t="n"/>
      <c r="B363" s="20" t="n"/>
      <c r="C363" s="20" t="n"/>
      <c r="D363" s="20" t="n"/>
      <c r="E363" s="20" t="n"/>
      <c r="F363" s="20" t="n"/>
      <c r="G363" s="20" t="n"/>
      <c r="H363" s="20" t="n"/>
      <c r="I363" s="20" t="n"/>
      <c r="J363" s="20" t="n"/>
      <c r="K363" s="20" t="n"/>
      <c r="L363" s="20" t="n"/>
      <c r="M363" s="20" t="n"/>
      <c r="N363" s="20" t="n"/>
    </row>
    <row r="364" ht="18" customHeight="1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21" t="n"/>
      <c r="N364" s="21" t="n"/>
    </row>
    <row r="365" ht="18" customHeight="1">
      <c r="A365" s="20" t="n"/>
      <c r="B365" s="20" t="n"/>
      <c r="C365" s="20" t="n"/>
      <c r="D365" s="20" t="n"/>
      <c r="E365" s="20" t="n"/>
      <c r="F365" s="20" t="n"/>
      <c r="G365" s="20" t="n"/>
      <c r="H365" s="20" t="n"/>
      <c r="I365" s="20" t="n"/>
      <c r="J365" s="20" t="n"/>
      <c r="K365" s="20" t="n"/>
      <c r="L365" s="20" t="n"/>
      <c r="M365" s="20" t="n"/>
      <c r="N365" s="20" t="n"/>
    </row>
    <row r="366" ht="18" customHeight="1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21" t="n"/>
      <c r="N366" s="21" t="n"/>
    </row>
    <row r="367" ht="18" customHeight="1">
      <c r="A367" s="20" t="n"/>
      <c r="B367" s="20" t="n"/>
      <c r="C367" s="20" t="n"/>
      <c r="D367" s="20" t="n"/>
      <c r="E367" s="20" t="n"/>
      <c r="F367" s="20" t="n"/>
      <c r="G367" s="20" t="n"/>
      <c r="H367" s="20" t="n"/>
      <c r="I367" s="20" t="n"/>
      <c r="J367" s="20" t="n"/>
      <c r="K367" s="20" t="n"/>
      <c r="L367" s="20" t="n"/>
      <c r="M367" s="20" t="n"/>
      <c r="N367" s="20" t="n"/>
    </row>
    <row r="368" ht="18" customHeight="1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21" t="n"/>
      <c r="N368" s="21" t="n"/>
    </row>
    <row r="369" ht="18" customHeight="1">
      <c r="A369" s="20" t="n"/>
      <c r="B369" s="20" t="n"/>
      <c r="C369" s="20" t="n"/>
      <c r="D369" s="20" t="n"/>
      <c r="E369" s="20" t="n"/>
      <c r="F369" s="20" t="n"/>
      <c r="G369" s="20" t="n"/>
      <c r="H369" s="20" t="n"/>
      <c r="I369" s="20" t="n"/>
      <c r="J369" s="20" t="n"/>
      <c r="K369" s="20" t="n"/>
      <c r="L369" s="20" t="n"/>
      <c r="M369" s="20" t="n"/>
      <c r="N369" s="20" t="n"/>
    </row>
    <row r="370" ht="18" customHeight="1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21" t="n"/>
      <c r="N370" s="21" t="n"/>
    </row>
    <row r="371" ht="18" customHeight="1">
      <c r="A371" s="20" t="n"/>
      <c r="B371" s="20" t="n"/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</row>
    <row r="372" ht="18" customHeight="1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21" t="n"/>
      <c r="N372" s="21" t="n"/>
    </row>
    <row r="373" ht="18" customHeight="1">
      <c r="A373" s="20" t="n"/>
      <c r="B373" s="20" t="n"/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</row>
    <row r="374" ht="18" customHeight="1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21" t="n"/>
      <c r="N374" s="21" t="n"/>
    </row>
    <row r="375" ht="18" customHeight="1">
      <c r="A375" s="20" t="n"/>
      <c r="B375" s="20" t="n"/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</row>
    <row r="376" ht="18" customHeight="1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21" t="n"/>
      <c r="N376" s="21" t="n"/>
    </row>
    <row r="377" ht="18" customHeight="1">
      <c r="A377" s="20" t="n"/>
      <c r="B377" s="20" t="n"/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</row>
    <row r="378" ht="18" customHeight="1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21" t="n"/>
      <c r="N378" s="21" t="n"/>
    </row>
    <row r="379" ht="18" customHeight="1">
      <c r="A379" s="20" t="n"/>
      <c r="B379" s="20" t="n"/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</row>
    <row r="380" ht="18" customHeight="1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21" t="n"/>
      <c r="N380" s="21" t="n"/>
    </row>
    <row r="381" ht="18" customHeight="1">
      <c r="A381" s="20" t="n"/>
      <c r="B381" s="20" t="n"/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</row>
    <row r="382" ht="18" customHeight="1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21" t="n"/>
      <c r="N382" s="21" t="n"/>
    </row>
    <row r="383" ht="18" customHeight="1">
      <c r="A383" s="20" t="n"/>
      <c r="B383" s="20" t="n"/>
      <c r="C383" s="20" t="n"/>
      <c r="D383" s="20" t="n"/>
      <c r="E383" s="20" t="n"/>
      <c r="F383" s="20" t="n"/>
      <c r="G383" s="20" t="n"/>
      <c r="H383" s="20" t="n"/>
      <c r="I383" s="20" t="n"/>
      <c r="J383" s="20" t="n"/>
      <c r="K383" s="20" t="n"/>
      <c r="L383" s="20" t="n"/>
      <c r="M383" s="20" t="n"/>
      <c r="N383" s="20" t="n"/>
    </row>
    <row r="384" ht="18" customHeight="1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21" t="n"/>
      <c r="N384" s="21" t="n"/>
    </row>
    <row r="385" ht="18" customHeight="1">
      <c r="A385" s="20" t="n"/>
      <c r="B385" s="20" t="n"/>
      <c r="C385" s="20" t="n"/>
      <c r="D385" s="20" t="n"/>
      <c r="E385" s="20" t="n"/>
      <c r="F385" s="20" t="n"/>
      <c r="G385" s="20" t="n"/>
      <c r="H385" s="20" t="n"/>
      <c r="I385" s="20" t="n"/>
      <c r="J385" s="20" t="n"/>
      <c r="K385" s="20" t="n"/>
      <c r="L385" s="20" t="n"/>
      <c r="M385" s="20" t="n"/>
      <c r="N385" s="20" t="n"/>
    </row>
    <row r="386" ht="18" customHeight="1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21" t="n"/>
      <c r="N386" s="21" t="n"/>
    </row>
    <row r="387" ht="18" customHeight="1">
      <c r="A387" s="20" t="n"/>
      <c r="B387" s="20" t="n"/>
      <c r="C387" s="20" t="n"/>
      <c r="D387" s="20" t="n"/>
      <c r="E387" s="20" t="n"/>
      <c r="F387" s="20" t="n"/>
      <c r="G387" s="20" t="n"/>
      <c r="H387" s="20" t="n"/>
      <c r="I387" s="20" t="n"/>
      <c r="J387" s="20" t="n"/>
      <c r="K387" s="20" t="n"/>
      <c r="L387" s="20" t="n"/>
      <c r="M387" s="20" t="n"/>
      <c r="N387" s="20" t="n"/>
    </row>
    <row r="388" ht="18" customHeight="1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21" t="n"/>
      <c r="N388" s="21" t="n"/>
    </row>
    <row r="389" ht="18" customHeight="1">
      <c r="A389" s="20" t="n"/>
      <c r="B389" s="20" t="n"/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</row>
    <row r="390" ht="18" customHeight="1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21" t="n"/>
      <c r="N390" s="21" t="n"/>
    </row>
    <row r="391" ht="18" customHeight="1">
      <c r="A391" s="20" t="n"/>
      <c r="B391" s="20" t="n"/>
      <c r="C391" s="20" t="n"/>
      <c r="D391" s="20" t="n"/>
      <c r="E391" s="20" t="n"/>
      <c r="F391" s="20" t="n"/>
      <c r="G391" s="20" t="n"/>
      <c r="H391" s="20" t="n"/>
      <c r="I391" s="20" t="n"/>
      <c r="J391" s="20" t="n"/>
      <c r="K391" s="20" t="n"/>
      <c r="L391" s="20" t="n"/>
      <c r="M391" s="20" t="n"/>
      <c r="N391" s="20" t="n"/>
    </row>
    <row r="392" ht="18" customHeight="1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21" t="n"/>
      <c r="N392" s="21" t="n"/>
    </row>
    <row r="393" ht="18" customHeight="1">
      <c r="A393" s="20" t="n"/>
      <c r="B393" s="20" t="n"/>
      <c r="C393" s="20" t="n"/>
      <c r="D393" s="20" t="n"/>
      <c r="E393" s="20" t="n"/>
      <c r="F393" s="20" t="n"/>
      <c r="G393" s="20" t="n"/>
      <c r="H393" s="20" t="n"/>
      <c r="I393" s="20" t="n"/>
      <c r="J393" s="20" t="n"/>
      <c r="K393" s="20" t="n"/>
      <c r="L393" s="20" t="n"/>
      <c r="M393" s="20" t="n"/>
      <c r="N393" s="20" t="n"/>
    </row>
    <row r="394" ht="18" customHeight="1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21" t="n"/>
      <c r="N394" s="21" t="n"/>
    </row>
    <row r="395" ht="18" customHeight="1">
      <c r="A395" s="20" t="n"/>
      <c r="B395" s="20" t="n"/>
      <c r="C395" s="20" t="n"/>
      <c r="D395" s="20" t="n"/>
      <c r="E395" s="20" t="n"/>
      <c r="F395" s="20" t="n"/>
      <c r="G395" s="20" t="n"/>
      <c r="H395" s="20" t="n"/>
      <c r="I395" s="20" t="n"/>
      <c r="J395" s="20" t="n"/>
      <c r="K395" s="20" t="n"/>
      <c r="L395" s="20" t="n"/>
      <c r="M395" s="20" t="n"/>
      <c r="N395" s="20" t="n"/>
    </row>
    <row r="396" ht="18" customHeight="1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21" t="n"/>
      <c r="N396" s="21" t="n"/>
    </row>
    <row r="397" ht="18" customHeight="1">
      <c r="A397" s="20" t="n"/>
      <c r="B397" s="20" t="n"/>
      <c r="C397" s="20" t="n"/>
      <c r="D397" s="20" t="n"/>
      <c r="E397" s="20" t="n"/>
      <c r="F397" s="20" t="n"/>
      <c r="G397" s="20" t="n"/>
      <c r="H397" s="20" t="n"/>
      <c r="I397" s="20" t="n"/>
      <c r="J397" s="20" t="n"/>
      <c r="K397" s="20" t="n"/>
      <c r="L397" s="20" t="n"/>
      <c r="M397" s="20" t="n"/>
      <c r="N397" s="20" t="n"/>
    </row>
    <row r="398" ht="18" customHeight="1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21" t="n"/>
      <c r="N398" s="21" t="n"/>
    </row>
    <row r="399" ht="18" customHeight="1">
      <c r="A399" s="20" t="n"/>
      <c r="B399" s="20" t="n"/>
      <c r="C399" s="20" t="n"/>
      <c r="D399" s="20" t="n"/>
      <c r="E399" s="20" t="n"/>
      <c r="F399" s="20" t="n"/>
      <c r="G399" s="20" t="n"/>
      <c r="H399" s="20" t="n"/>
      <c r="I399" s="20" t="n"/>
      <c r="J399" s="20" t="n"/>
      <c r="K399" s="20" t="n"/>
      <c r="L399" s="20" t="n"/>
      <c r="M399" s="20" t="n"/>
      <c r="N399" s="20" t="n"/>
    </row>
    <row r="400" ht="18" customHeight="1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21" t="n"/>
      <c r="N400" s="21" t="n"/>
    </row>
    <row r="401" ht="18" customHeight="1">
      <c r="A401" s="20" t="n"/>
      <c r="B401" s="20" t="n"/>
      <c r="C401" s="20" t="n"/>
      <c r="D401" s="20" t="n"/>
      <c r="E401" s="20" t="n"/>
      <c r="F401" s="20" t="n"/>
      <c r="G401" s="20" t="n"/>
      <c r="H401" s="20" t="n"/>
      <c r="I401" s="20" t="n"/>
      <c r="J401" s="20" t="n"/>
      <c r="K401" s="20" t="n"/>
      <c r="L401" s="20" t="n"/>
      <c r="M401" s="20" t="n"/>
      <c r="N401" s="20" t="n"/>
    </row>
    <row r="402" ht="18" customHeight="1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21" t="n"/>
      <c r="N402" s="21" t="n"/>
    </row>
    <row r="403" ht="18" customHeight="1">
      <c r="A403" s="20" t="n"/>
      <c r="B403" s="20" t="n"/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</row>
    <row r="404" ht="18" customHeight="1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21" t="n"/>
      <c r="N404" s="21" t="n"/>
    </row>
    <row r="405" ht="18" customHeight="1">
      <c r="A405" s="20" t="n"/>
      <c r="B405" s="20" t="n"/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0" t="n"/>
    </row>
    <row r="406" ht="18" customHeight="1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21" t="n"/>
      <c r="N406" s="21" t="n"/>
    </row>
    <row r="407" ht="18" customHeight="1">
      <c r="A407" s="20" t="n"/>
      <c r="B407" s="20" t="n"/>
      <c r="C407" s="20" t="n"/>
      <c r="D407" s="20" t="n"/>
      <c r="E407" s="20" t="n"/>
      <c r="F407" s="20" t="n"/>
      <c r="G407" s="20" t="n"/>
      <c r="H407" s="20" t="n"/>
      <c r="I407" s="20" t="n"/>
      <c r="J407" s="20" t="n"/>
      <c r="K407" s="20" t="n"/>
      <c r="L407" s="20" t="n"/>
      <c r="M407" s="20" t="n"/>
      <c r="N407" s="20" t="n"/>
    </row>
    <row r="408" ht="18" customHeight="1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21" t="n"/>
      <c r="N408" s="21" t="n"/>
    </row>
    <row r="409" ht="18" customHeight="1">
      <c r="A409" s="20" t="n"/>
      <c r="B409" s="20" t="n"/>
      <c r="C409" s="20" t="n"/>
      <c r="D409" s="20" t="n"/>
      <c r="E409" s="20" t="n"/>
      <c r="F409" s="20" t="n"/>
      <c r="G409" s="20" t="n"/>
      <c r="H409" s="20" t="n"/>
      <c r="I409" s="20" t="n"/>
      <c r="J409" s="20" t="n"/>
      <c r="K409" s="20" t="n"/>
      <c r="L409" s="20" t="n"/>
      <c r="M409" s="20" t="n"/>
      <c r="N409" s="20" t="n"/>
    </row>
    <row r="410" ht="18" customHeight="1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21" t="n"/>
      <c r="N410" s="21" t="n"/>
    </row>
    <row r="411" ht="18" customHeight="1">
      <c r="A411" s="20" t="n"/>
      <c r="B411" s="20" t="n"/>
      <c r="C411" s="20" t="n"/>
      <c r="D411" s="20" t="n"/>
      <c r="E411" s="20" t="n"/>
      <c r="F411" s="20" t="n"/>
      <c r="G411" s="20" t="n"/>
      <c r="H411" s="20" t="n"/>
      <c r="I411" s="20" t="n"/>
      <c r="J411" s="20" t="n"/>
      <c r="K411" s="20" t="n"/>
      <c r="L411" s="20" t="n"/>
      <c r="M411" s="20" t="n"/>
      <c r="N411" s="20" t="n"/>
    </row>
    <row r="412" ht="18" customHeight="1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21" t="n"/>
      <c r="N412" s="21" t="n"/>
    </row>
    <row r="413" ht="18" customHeight="1">
      <c r="A413" s="20" t="n"/>
      <c r="B413" s="20" t="n"/>
      <c r="C413" s="20" t="n"/>
      <c r="D413" s="20" t="n"/>
      <c r="E413" s="20" t="n"/>
      <c r="F413" s="20" t="n"/>
      <c r="G413" s="20" t="n"/>
      <c r="H413" s="20" t="n"/>
      <c r="I413" s="20" t="n"/>
      <c r="J413" s="20" t="n"/>
      <c r="K413" s="20" t="n"/>
      <c r="L413" s="20" t="n"/>
      <c r="M413" s="20" t="n"/>
      <c r="N413" s="20" t="n"/>
    </row>
    <row r="414" ht="18" customHeight="1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21" t="n"/>
      <c r="N414" s="21" t="n"/>
    </row>
    <row r="415" ht="18" customHeight="1">
      <c r="A415" s="20" t="n"/>
      <c r="B415" s="20" t="n"/>
      <c r="C415" s="20" t="n"/>
      <c r="D415" s="20" t="n"/>
      <c r="E415" s="20" t="n"/>
      <c r="F415" s="20" t="n"/>
      <c r="G415" s="20" t="n"/>
      <c r="H415" s="20" t="n"/>
      <c r="I415" s="20" t="n"/>
      <c r="J415" s="20" t="n"/>
      <c r="K415" s="20" t="n"/>
      <c r="L415" s="20" t="n"/>
      <c r="M415" s="20" t="n"/>
      <c r="N415" s="20" t="n"/>
    </row>
    <row r="416" ht="18" customHeight="1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21" t="n"/>
      <c r="N416" s="21" t="n"/>
    </row>
    <row r="417" ht="18" customHeight="1">
      <c r="A417" s="20" t="n"/>
      <c r="B417" s="20" t="n"/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</row>
    <row r="418" ht="18" customHeight="1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21" t="n"/>
      <c r="N418" s="21" t="n"/>
    </row>
    <row r="419" ht="18" customHeight="1">
      <c r="A419" s="20" t="n"/>
      <c r="B419" s="20" t="n"/>
      <c r="C419" s="20" t="n"/>
      <c r="D419" s="20" t="n"/>
      <c r="E419" s="20" t="n"/>
      <c r="F419" s="20" t="n"/>
      <c r="G419" s="20" t="n"/>
      <c r="H419" s="20" t="n"/>
      <c r="I419" s="20" t="n"/>
      <c r="J419" s="20" t="n"/>
      <c r="K419" s="20" t="n"/>
      <c r="L419" s="20" t="n"/>
      <c r="M419" s="20" t="n"/>
      <c r="N419" s="20" t="n"/>
    </row>
    <row r="420" ht="18" customHeight="1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21" t="n"/>
      <c r="N420" s="21" t="n"/>
    </row>
    <row r="421" ht="18" customHeight="1">
      <c r="A421" s="20" t="n"/>
      <c r="B421" s="20" t="n"/>
      <c r="C421" s="20" t="n"/>
      <c r="D421" s="20" t="n"/>
      <c r="E421" s="20" t="n"/>
      <c r="F421" s="20" t="n"/>
      <c r="G421" s="20" t="n"/>
      <c r="H421" s="20" t="n"/>
      <c r="I421" s="20" t="n"/>
      <c r="J421" s="20" t="n"/>
      <c r="K421" s="20" t="n"/>
      <c r="L421" s="20" t="n"/>
      <c r="M421" s="20" t="n"/>
      <c r="N421" s="20" t="n"/>
    </row>
    <row r="422" ht="18" customHeight="1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21" t="n"/>
      <c r="N422" s="21" t="n"/>
    </row>
    <row r="423" ht="18" customHeight="1">
      <c r="A423" s="20" t="n"/>
      <c r="B423" s="20" t="n"/>
      <c r="C423" s="20" t="n"/>
      <c r="D423" s="20" t="n"/>
      <c r="E423" s="20" t="n"/>
      <c r="F423" s="20" t="n"/>
      <c r="G423" s="20" t="n"/>
      <c r="H423" s="20" t="n"/>
      <c r="I423" s="20" t="n"/>
      <c r="J423" s="20" t="n"/>
      <c r="K423" s="20" t="n"/>
      <c r="L423" s="20" t="n"/>
      <c r="M423" s="20" t="n"/>
      <c r="N423" s="20" t="n"/>
    </row>
    <row r="424" ht="18" customHeight="1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21" t="n"/>
      <c r="N424" s="21" t="n"/>
    </row>
    <row r="425" ht="18" customHeight="1">
      <c r="A425" s="20" t="n"/>
      <c r="B425" s="20" t="n"/>
      <c r="C425" s="20" t="n"/>
      <c r="D425" s="20" t="n"/>
      <c r="E425" s="20" t="n"/>
      <c r="F425" s="20" t="n"/>
      <c r="G425" s="20" t="n"/>
      <c r="H425" s="20" t="n"/>
      <c r="I425" s="20" t="n"/>
      <c r="J425" s="20" t="n"/>
      <c r="K425" s="20" t="n"/>
      <c r="L425" s="20" t="n"/>
      <c r="M425" s="20" t="n"/>
      <c r="N425" s="20" t="n"/>
    </row>
    <row r="426" ht="18" customHeight="1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21" t="n"/>
      <c r="N426" s="21" t="n"/>
    </row>
    <row r="427" ht="18" customHeight="1">
      <c r="A427" s="20" t="n"/>
      <c r="B427" s="20" t="n"/>
      <c r="C427" s="20" t="n"/>
      <c r="D427" s="20" t="n"/>
      <c r="E427" s="20" t="n"/>
      <c r="F427" s="20" t="n"/>
      <c r="G427" s="20" t="n"/>
      <c r="H427" s="20" t="n"/>
      <c r="I427" s="20" t="n"/>
      <c r="J427" s="20" t="n"/>
      <c r="K427" s="20" t="n"/>
      <c r="L427" s="20" t="n"/>
      <c r="M427" s="20" t="n"/>
      <c r="N427" s="20" t="n"/>
    </row>
    <row r="428" ht="18" customHeight="1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21" t="n"/>
      <c r="N428" s="21" t="n"/>
    </row>
    <row r="429" ht="18" customHeight="1">
      <c r="A429" s="20" t="n"/>
      <c r="B429" s="20" t="n"/>
      <c r="C429" s="20" t="n"/>
      <c r="D429" s="20" t="n"/>
      <c r="E429" s="20" t="n"/>
      <c r="F429" s="20" t="n"/>
      <c r="G429" s="20" t="n"/>
      <c r="H429" s="20" t="n"/>
      <c r="I429" s="20" t="n"/>
      <c r="J429" s="20" t="n"/>
      <c r="K429" s="20" t="n"/>
      <c r="L429" s="20" t="n"/>
      <c r="M429" s="20" t="n"/>
      <c r="N429" s="20" t="n"/>
    </row>
    <row r="430" ht="18" customHeight="1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21" t="n"/>
      <c r="N430" s="21" t="n"/>
    </row>
    <row r="431" ht="18" customHeight="1">
      <c r="A431" s="20" t="n"/>
      <c r="B431" s="20" t="n"/>
      <c r="C431" s="20" t="n"/>
      <c r="D431" s="20" t="n"/>
      <c r="E431" s="20" t="n"/>
      <c r="F431" s="20" t="n"/>
      <c r="G431" s="20" t="n"/>
      <c r="H431" s="20" t="n"/>
      <c r="I431" s="20" t="n"/>
      <c r="J431" s="20" t="n"/>
      <c r="K431" s="20" t="n"/>
      <c r="L431" s="20" t="n"/>
      <c r="M431" s="20" t="n"/>
      <c r="N431" s="20" t="n"/>
    </row>
    <row r="432" ht="18" customHeight="1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21" t="n"/>
      <c r="N432" s="21" t="n"/>
    </row>
    <row r="433" ht="18" customHeight="1">
      <c r="A433" s="20" t="n"/>
      <c r="B433" s="20" t="n"/>
      <c r="C433" s="20" t="n"/>
      <c r="D433" s="20" t="n"/>
      <c r="E433" s="20" t="n"/>
      <c r="F433" s="20" t="n"/>
      <c r="G433" s="20" t="n"/>
      <c r="H433" s="20" t="n"/>
      <c r="I433" s="20" t="n"/>
      <c r="J433" s="20" t="n"/>
      <c r="K433" s="20" t="n"/>
      <c r="L433" s="20" t="n"/>
      <c r="M433" s="20" t="n"/>
      <c r="N433" s="20" t="n"/>
    </row>
    <row r="434" ht="18" customHeight="1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21" t="n"/>
      <c r="N434" s="21" t="n"/>
    </row>
    <row r="435" ht="18" customHeight="1">
      <c r="A435" s="20" t="n"/>
      <c r="B435" s="20" t="n"/>
      <c r="C435" s="20" t="n"/>
      <c r="D435" s="20" t="n"/>
      <c r="E435" s="20" t="n"/>
      <c r="F435" s="20" t="n"/>
      <c r="G435" s="20" t="n"/>
      <c r="H435" s="20" t="n"/>
      <c r="I435" s="20" t="n"/>
      <c r="J435" s="20" t="n"/>
      <c r="K435" s="20" t="n"/>
      <c r="L435" s="20" t="n"/>
      <c r="M435" s="20" t="n"/>
      <c r="N435" s="20" t="n"/>
    </row>
    <row r="436" ht="18" customHeight="1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21" t="n"/>
      <c r="N436" s="21" t="n"/>
    </row>
    <row r="437" ht="18" customHeight="1">
      <c r="A437" s="20" t="n"/>
      <c r="B437" s="20" t="n"/>
      <c r="C437" s="20" t="n"/>
      <c r="D437" s="20" t="n"/>
      <c r="E437" s="20" t="n"/>
      <c r="F437" s="20" t="n"/>
      <c r="G437" s="20" t="n"/>
      <c r="H437" s="20" t="n"/>
      <c r="I437" s="20" t="n"/>
      <c r="J437" s="20" t="n"/>
      <c r="K437" s="20" t="n"/>
      <c r="L437" s="20" t="n"/>
      <c r="M437" s="20" t="n"/>
      <c r="N437" s="20" t="n"/>
    </row>
    <row r="438" ht="18" customHeight="1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21" t="n"/>
      <c r="N438" s="21" t="n"/>
    </row>
    <row r="439" ht="18" customHeight="1">
      <c r="A439" s="20" t="n"/>
      <c r="B439" s="20" t="n"/>
      <c r="C439" s="20" t="n"/>
      <c r="D439" s="20" t="n"/>
      <c r="E439" s="20" t="n"/>
      <c r="F439" s="20" t="n"/>
      <c r="G439" s="20" t="n"/>
      <c r="H439" s="20" t="n"/>
      <c r="I439" s="20" t="n"/>
      <c r="J439" s="20" t="n"/>
      <c r="K439" s="20" t="n"/>
      <c r="L439" s="20" t="n"/>
      <c r="M439" s="20" t="n"/>
      <c r="N439" s="20" t="n"/>
    </row>
    <row r="440" ht="18" customHeight="1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21" t="n"/>
      <c r="N440" s="21" t="n"/>
    </row>
    <row r="441" ht="18" customHeight="1">
      <c r="A441" s="20" t="n"/>
      <c r="B441" s="20" t="n"/>
      <c r="C441" s="20" t="n"/>
      <c r="D441" s="20" t="n"/>
      <c r="E441" s="20" t="n"/>
      <c r="F441" s="20" t="n"/>
      <c r="G441" s="20" t="n"/>
      <c r="H441" s="20" t="n"/>
      <c r="I441" s="20" t="n"/>
      <c r="J441" s="20" t="n"/>
      <c r="K441" s="20" t="n"/>
      <c r="L441" s="20" t="n"/>
      <c r="M441" s="20" t="n"/>
      <c r="N441" s="20" t="n"/>
    </row>
    <row r="442" ht="18" customHeight="1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21" t="n"/>
      <c r="N442" s="21" t="n"/>
    </row>
    <row r="443" ht="18" customHeight="1">
      <c r="A443" s="20" t="n"/>
      <c r="B443" s="20" t="n"/>
      <c r="C443" s="20" t="n"/>
      <c r="D443" s="20" t="n"/>
      <c r="E443" s="20" t="n"/>
      <c r="F443" s="20" t="n"/>
      <c r="G443" s="20" t="n"/>
      <c r="H443" s="20" t="n"/>
      <c r="I443" s="20" t="n"/>
      <c r="J443" s="20" t="n"/>
      <c r="K443" s="20" t="n"/>
      <c r="L443" s="20" t="n"/>
      <c r="M443" s="20" t="n"/>
      <c r="N443" s="20" t="n"/>
    </row>
    <row r="444" ht="18" customHeight="1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21" t="n"/>
      <c r="N444" s="21" t="n"/>
    </row>
    <row r="445" ht="18" customHeight="1">
      <c r="A445" s="20" t="n"/>
      <c r="B445" s="20" t="n"/>
      <c r="C445" s="20" t="n"/>
      <c r="D445" s="20" t="n"/>
      <c r="E445" s="20" t="n"/>
      <c r="F445" s="20" t="n"/>
      <c r="G445" s="20" t="n"/>
      <c r="H445" s="20" t="n"/>
      <c r="I445" s="20" t="n"/>
      <c r="J445" s="20" t="n"/>
      <c r="K445" s="20" t="n"/>
      <c r="L445" s="20" t="n"/>
      <c r="M445" s="20" t="n"/>
      <c r="N445" s="20" t="n"/>
    </row>
    <row r="446" ht="18" customHeight="1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21" t="n"/>
      <c r="N446" s="21" t="n"/>
    </row>
    <row r="447" ht="18" customHeight="1">
      <c r="A447" s="20" t="n"/>
      <c r="B447" s="20" t="n"/>
      <c r="C447" s="20" t="n"/>
      <c r="D447" s="20" t="n"/>
      <c r="E447" s="20" t="n"/>
      <c r="F447" s="20" t="n"/>
      <c r="G447" s="20" t="n"/>
      <c r="H447" s="20" t="n"/>
      <c r="I447" s="20" t="n"/>
      <c r="J447" s="20" t="n"/>
      <c r="K447" s="20" t="n"/>
      <c r="L447" s="20" t="n"/>
      <c r="M447" s="20" t="n"/>
      <c r="N447" s="20" t="n"/>
    </row>
    <row r="448" ht="18" customHeight="1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21" t="n"/>
      <c r="N448" s="21" t="n"/>
    </row>
    <row r="449" ht="18" customHeight="1">
      <c r="A449" s="20" t="n"/>
      <c r="B449" s="20" t="n"/>
      <c r="C449" s="20" t="n"/>
      <c r="D449" s="20" t="n"/>
      <c r="E449" s="20" t="n"/>
      <c r="F449" s="20" t="n"/>
      <c r="G449" s="20" t="n"/>
      <c r="H449" s="20" t="n"/>
      <c r="I449" s="20" t="n"/>
      <c r="J449" s="20" t="n"/>
      <c r="K449" s="20" t="n"/>
      <c r="L449" s="20" t="n"/>
      <c r="M449" s="20" t="n"/>
      <c r="N449" s="20" t="n"/>
    </row>
    <row r="450" ht="18" customHeight="1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21" t="n"/>
      <c r="N450" s="21" t="n"/>
    </row>
    <row r="451" ht="18" customHeight="1">
      <c r="A451" s="20" t="n"/>
      <c r="B451" s="20" t="n"/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</row>
    <row r="452" ht="18" customHeight="1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21" t="n"/>
      <c r="N452" s="21" t="n"/>
    </row>
    <row r="453" ht="18" customHeight="1">
      <c r="A453" s="20" t="n"/>
      <c r="B453" s="20" t="n"/>
      <c r="C453" s="20" t="n"/>
      <c r="D453" s="20" t="n"/>
      <c r="E453" s="20" t="n"/>
      <c r="F453" s="20" t="n"/>
      <c r="G453" s="20" t="n"/>
      <c r="H453" s="20" t="n"/>
      <c r="I453" s="20" t="n"/>
      <c r="J453" s="20" t="n"/>
      <c r="K453" s="20" t="n"/>
      <c r="L453" s="20" t="n"/>
      <c r="M453" s="20" t="n"/>
      <c r="N453" s="20" t="n"/>
    </row>
    <row r="454" ht="18" customHeight="1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21" t="n"/>
      <c r="N454" s="21" t="n"/>
    </row>
    <row r="455" ht="18" customHeight="1">
      <c r="A455" s="20" t="n"/>
      <c r="B455" s="20" t="n"/>
      <c r="C455" s="20" t="n"/>
      <c r="D455" s="20" t="n"/>
      <c r="E455" s="20" t="n"/>
      <c r="F455" s="20" t="n"/>
      <c r="G455" s="20" t="n"/>
      <c r="H455" s="20" t="n"/>
      <c r="I455" s="20" t="n"/>
      <c r="J455" s="20" t="n"/>
      <c r="K455" s="20" t="n"/>
      <c r="L455" s="20" t="n"/>
      <c r="M455" s="20" t="n"/>
      <c r="N455" s="20" t="n"/>
    </row>
    <row r="456" ht="18" customHeight="1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21" t="n"/>
      <c r="N456" s="21" t="n"/>
    </row>
    <row r="457" ht="18" customHeight="1">
      <c r="A457" s="20" t="n"/>
      <c r="B457" s="20" t="n"/>
      <c r="C457" s="20" t="n"/>
      <c r="D457" s="20" t="n"/>
      <c r="E457" s="20" t="n"/>
      <c r="F457" s="20" t="n"/>
      <c r="G457" s="20" t="n"/>
      <c r="H457" s="20" t="n"/>
      <c r="I457" s="20" t="n"/>
      <c r="J457" s="20" t="n"/>
      <c r="K457" s="20" t="n"/>
      <c r="L457" s="20" t="n"/>
      <c r="M457" s="20" t="n"/>
      <c r="N457" s="20" t="n"/>
    </row>
    <row r="458" ht="18" customHeight="1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21" t="n"/>
      <c r="N458" s="21" t="n"/>
    </row>
    <row r="459" ht="18" customHeight="1">
      <c r="A459" s="20" t="n"/>
      <c r="B459" s="20" t="n"/>
      <c r="C459" s="20" t="n"/>
      <c r="D459" s="20" t="n"/>
      <c r="E459" s="20" t="n"/>
      <c r="F459" s="20" t="n"/>
      <c r="G459" s="20" t="n"/>
      <c r="H459" s="20" t="n"/>
      <c r="I459" s="20" t="n"/>
      <c r="J459" s="20" t="n"/>
      <c r="K459" s="20" t="n"/>
      <c r="L459" s="20" t="n"/>
      <c r="M459" s="20" t="n"/>
      <c r="N459" s="20" t="n"/>
    </row>
    <row r="460" ht="18" customHeight="1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21" t="n"/>
      <c r="N460" s="21" t="n"/>
    </row>
    <row r="461" ht="18" customHeight="1">
      <c r="A461" s="20" t="n"/>
      <c r="B461" s="20" t="n"/>
      <c r="C461" s="20" t="n"/>
      <c r="D461" s="20" t="n"/>
      <c r="E461" s="20" t="n"/>
      <c r="F461" s="20" t="n"/>
      <c r="G461" s="20" t="n"/>
      <c r="H461" s="20" t="n"/>
      <c r="I461" s="20" t="n"/>
      <c r="J461" s="20" t="n"/>
      <c r="K461" s="20" t="n"/>
      <c r="L461" s="20" t="n"/>
      <c r="M461" s="20" t="n"/>
      <c r="N461" s="20" t="n"/>
    </row>
    <row r="462" ht="18" customHeight="1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21" t="n"/>
      <c r="N462" s="21" t="n"/>
    </row>
    <row r="463" ht="18" customHeight="1">
      <c r="A463" s="20" t="n"/>
      <c r="B463" s="20" t="n"/>
      <c r="C463" s="20" t="n"/>
      <c r="D463" s="20" t="n"/>
      <c r="E463" s="20" t="n"/>
      <c r="F463" s="20" t="n"/>
      <c r="G463" s="20" t="n"/>
      <c r="H463" s="20" t="n"/>
      <c r="I463" s="20" t="n"/>
      <c r="J463" s="20" t="n"/>
      <c r="K463" s="20" t="n"/>
      <c r="L463" s="20" t="n"/>
      <c r="M463" s="20" t="n"/>
      <c r="N463" s="20" t="n"/>
    </row>
    <row r="464" ht="18" customHeight="1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21" t="n"/>
      <c r="N464" s="21" t="n"/>
    </row>
    <row r="465" ht="18" customHeight="1">
      <c r="A465" s="20" t="n"/>
      <c r="B465" s="20" t="n"/>
      <c r="C465" s="20" t="n"/>
      <c r="D465" s="20" t="n"/>
      <c r="E465" s="20" t="n"/>
      <c r="F465" s="20" t="n"/>
      <c r="G465" s="20" t="n"/>
      <c r="H465" s="20" t="n"/>
      <c r="I465" s="20" t="n"/>
      <c r="J465" s="20" t="n"/>
      <c r="K465" s="20" t="n"/>
      <c r="L465" s="20" t="n"/>
      <c r="M465" s="20" t="n"/>
      <c r="N465" s="20" t="n"/>
    </row>
    <row r="466" ht="18" customHeight="1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21" t="n"/>
      <c r="N466" s="21" t="n"/>
    </row>
    <row r="467" ht="18" customHeight="1">
      <c r="A467" s="20" t="n"/>
      <c r="B467" s="20" t="n"/>
      <c r="C467" s="20" t="n"/>
      <c r="D467" s="20" t="n"/>
      <c r="E467" s="20" t="n"/>
      <c r="F467" s="20" t="n"/>
      <c r="G467" s="20" t="n"/>
      <c r="H467" s="20" t="n"/>
      <c r="I467" s="20" t="n"/>
      <c r="J467" s="20" t="n"/>
      <c r="K467" s="20" t="n"/>
      <c r="L467" s="20" t="n"/>
      <c r="M467" s="20" t="n"/>
      <c r="N467" s="20" t="n"/>
    </row>
    <row r="468" ht="18" customHeight="1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21" t="n"/>
      <c r="N468" s="21" t="n"/>
    </row>
    <row r="469" ht="18" customHeight="1">
      <c r="A469" s="20" t="n"/>
      <c r="B469" s="20" t="n"/>
      <c r="C469" s="20" t="n"/>
      <c r="D469" s="20" t="n"/>
      <c r="E469" s="20" t="n"/>
      <c r="F469" s="20" t="n"/>
      <c r="G469" s="20" t="n"/>
      <c r="H469" s="20" t="n"/>
      <c r="I469" s="20" t="n"/>
      <c r="J469" s="20" t="n"/>
      <c r="K469" s="20" t="n"/>
      <c r="L469" s="20" t="n"/>
      <c r="M469" s="20" t="n"/>
      <c r="N469" s="20" t="n"/>
    </row>
    <row r="470" ht="18" customHeight="1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21" t="n"/>
      <c r="N470" s="21" t="n"/>
    </row>
    <row r="471" ht="18" customHeight="1">
      <c r="A471" s="20" t="n"/>
      <c r="B471" s="20" t="n"/>
      <c r="C471" s="20" t="n"/>
      <c r="D471" s="20" t="n"/>
      <c r="E471" s="20" t="n"/>
      <c r="F471" s="20" t="n"/>
      <c r="G471" s="20" t="n"/>
      <c r="H471" s="20" t="n"/>
      <c r="I471" s="20" t="n"/>
      <c r="J471" s="20" t="n"/>
      <c r="K471" s="20" t="n"/>
      <c r="L471" s="20" t="n"/>
      <c r="M471" s="20" t="n"/>
      <c r="N471" s="20" t="n"/>
    </row>
    <row r="472" ht="18" customHeight="1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21" t="n"/>
      <c r="N472" s="21" t="n"/>
    </row>
    <row r="473" ht="18" customHeight="1">
      <c r="A473" s="20" t="n"/>
      <c r="B473" s="20" t="n"/>
      <c r="C473" s="20" t="n"/>
      <c r="D473" s="20" t="n"/>
      <c r="E473" s="20" t="n"/>
      <c r="F473" s="20" t="n"/>
      <c r="G473" s="20" t="n"/>
      <c r="H473" s="20" t="n"/>
      <c r="I473" s="20" t="n"/>
      <c r="J473" s="20" t="n"/>
      <c r="K473" s="20" t="n"/>
      <c r="L473" s="20" t="n"/>
      <c r="M473" s="20" t="n"/>
      <c r="N473" s="20" t="n"/>
    </row>
    <row r="474" ht="18" customHeight="1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21" t="n"/>
      <c r="N474" s="21" t="n"/>
    </row>
    <row r="475" ht="18" customHeight="1">
      <c r="A475" s="20" t="n"/>
      <c r="B475" s="20" t="n"/>
      <c r="C475" s="20" t="n"/>
      <c r="D475" s="20" t="n"/>
      <c r="E475" s="20" t="n"/>
      <c r="F475" s="20" t="n"/>
      <c r="G475" s="20" t="n"/>
      <c r="H475" s="20" t="n"/>
      <c r="I475" s="20" t="n"/>
      <c r="J475" s="20" t="n"/>
      <c r="K475" s="20" t="n"/>
      <c r="L475" s="20" t="n"/>
      <c r="M475" s="20" t="n"/>
      <c r="N475" s="20" t="n"/>
    </row>
    <row r="476" ht="18" customHeight="1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21" t="n"/>
      <c r="N476" s="21" t="n"/>
    </row>
    <row r="477" ht="18" customHeight="1">
      <c r="A477" s="20" t="n"/>
      <c r="B477" s="20" t="n"/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n"/>
      <c r="L477" s="20" t="n"/>
      <c r="M477" s="20" t="n"/>
      <c r="N477" s="20" t="n"/>
    </row>
    <row r="478" ht="18" customHeight="1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21" t="n"/>
      <c r="N478" s="21" t="n"/>
    </row>
    <row r="479" ht="18" customHeight="1">
      <c r="A479" s="20" t="n"/>
      <c r="B479" s="20" t="n"/>
      <c r="C479" s="20" t="n"/>
      <c r="D479" s="20" t="n"/>
      <c r="E479" s="20" t="n"/>
      <c r="F479" s="20" t="n"/>
      <c r="G479" s="20" t="n"/>
      <c r="H479" s="20" t="n"/>
      <c r="I479" s="20" t="n"/>
      <c r="J479" s="20" t="n"/>
      <c r="K479" s="20" t="n"/>
      <c r="L479" s="20" t="n"/>
      <c r="M479" s="20" t="n"/>
      <c r="N479" s="20" t="n"/>
    </row>
    <row r="480" ht="18" customHeight="1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21" t="n"/>
      <c r="N480" s="21" t="n"/>
    </row>
    <row r="481" ht="18" customHeight="1">
      <c r="A481" s="20" t="n"/>
      <c r="B481" s="20" t="n"/>
      <c r="C481" s="20" t="n"/>
      <c r="D481" s="20" t="n"/>
      <c r="E481" s="20" t="n"/>
      <c r="F481" s="20" t="n"/>
      <c r="G481" s="20" t="n"/>
      <c r="H481" s="20" t="n"/>
      <c r="I481" s="20" t="n"/>
      <c r="J481" s="20" t="n"/>
      <c r="K481" s="20" t="n"/>
      <c r="L481" s="20" t="n"/>
      <c r="M481" s="20" t="n"/>
      <c r="N481" s="20" t="n"/>
    </row>
    <row r="482" ht="18" customHeight="1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21" t="n"/>
      <c r="N482" s="21" t="n"/>
    </row>
    <row r="483" ht="18" customHeight="1">
      <c r="A483" s="20" t="n"/>
      <c r="B483" s="20" t="n"/>
      <c r="C483" s="20" t="n"/>
      <c r="D483" s="20" t="n"/>
      <c r="E483" s="20" t="n"/>
      <c r="F483" s="20" t="n"/>
      <c r="G483" s="20" t="n"/>
      <c r="H483" s="20" t="n"/>
      <c r="I483" s="20" t="n"/>
      <c r="J483" s="20" t="n"/>
      <c r="K483" s="20" t="n"/>
      <c r="L483" s="20" t="n"/>
      <c r="M483" s="20" t="n"/>
      <c r="N483" s="20" t="n"/>
    </row>
    <row r="484" ht="18" customHeight="1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21" t="n"/>
      <c r="N484" s="21" t="n"/>
    </row>
    <row r="485" ht="18" customHeight="1">
      <c r="A485" s="20" t="n"/>
      <c r="B485" s="20" t="n"/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n"/>
      <c r="L485" s="20" t="n"/>
      <c r="M485" s="20" t="n"/>
      <c r="N485" s="20" t="n"/>
    </row>
    <row r="486" ht="18" customHeight="1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21" t="n"/>
      <c r="N486" s="21" t="n"/>
    </row>
    <row r="487" ht="18" customHeight="1">
      <c r="A487" s="20" t="n"/>
      <c r="B487" s="20" t="n"/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n"/>
      <c r="L487" s="20" t="n"/>
      <c r="M487" s="20" t="n"/>
      <c r="N487" s="20" t="n"/>
    </row>
    <row r="488" ht="18" customHeight="1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21" t="n"/>
      <c r="N488" s="21" t="n"/>
    </row>
    <row r="489" ht="18" customHeight="1">
      <c r="A489" s="20" t="n"/>
      <c r="B489" s="20" t="n"/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n"/>
      <c r="L489" s="20" t="n"/>
      <c r="M489" s="20" t="n"/>
      <c r="N489" s="20" t="n"/>
    </row>
    <row r="490" ht="18" customHeight="1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21" t="n"/>
      <c r="N490" s="21" t="n"/>
    </row>
    <row r="491" ht="18" customHeight="1">
      <c r="A491" s="20" t="n"/>
      <c r="B491" s="20" t="n"/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n"/>
      <c r="L491" s="20" t="n"/>
      <c r="M491" s="20" t="n"/>
      <c r="N491" s="20" t="n"/>
    </row>
    <row r="492" ht="18" customHeight="1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21" t="n"/>
      <c r="N492" s="21" t="n"/>
    </row>
    <row r="493" ht="18" customHeight="1">
      <c r="A493" s="20" t="n"/>
      <c r="B493" s="20" t="n"/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n"/>
      <c r="L493" s="20" t="n"/>
      <c r="M493" s="20" t="n"/>
      <c r="N493" s="20" t="n"/>
    </row>
    <row r="494" ht="18" customHeight="1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21" t="n"/>
      <c r="N494" s="21" t="n"/>
    </row>
    <row r="495" ht="18" customHeight="1">
      <c r="A495" s="20" t="n"/>
      <c r="B495" s="20" t="n"/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</row>
    <row r="496" ht="18" customHeight="1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21" t="n"/>
      <c r="N496" s="21" t="n"/>
    </row>
    <row r="497" ht="18" customHeight="1">
      <c r="A497" s="20" t="n"/>
      <c r="B497" s="20" t="n"/>
      <c r="C497" s="20" t="n"/>
      <c r="D497" s="20" t="n"/>
      <c r="E497" s="20" t="n"/>
      <c r="F497" s="20" t="n"/>
      <c r="G497" s="20" t="n"/>
      <c r="H497" s="20" t="n"/>
      <c r="I497" s="20" t="n"/>
      <c r="J497" s="20" t="n"/>
      <c r="K497" s="20" t="n"/>
      <c r="L497" s="20" t="n"/>
      <c r="M497" s="20" t="n"/>
      <c r="N497" s="20" t="n"/>
    </row>
    <row r="498" ht="18" customHeight="1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21" t="n"/>
      <c r="N498" s="21" t="n"/>
    </row>
    <row r="499" ht="18" customHeight="1">
      <c r="A499" s="20" t="n"/>
      <c r="B499" s="20" t="n"/>
      <c r="C499" s="20" t="n"/>
      <c r="D499" s="20" t="n"/>
      <c r="E499" s="20" t="n"/>
      <c r="F499" s="20" t="n"/>
      <c r="G499" s="20" t="n"/>
      <c r="H499" s="20" t="n"/>
      <c r="I499" s="20" t="n"/>
      <c r="J499" s="20" t="n"/>
      <c r="K499" s="20" t="n"/>
      <c r="L499" s="20" t="n"/>
      <c r="M499" s="20" t="n"/>
      <c r="N499" s="20" t="n"/>
    </row>
    <row r="500" ht="18" customHeight="1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21" t="n"/>
      <c r="N500" s="21" t="n"/>
    </row>
    <row r="501" ht="18" customHeight="1">
      <c r="A501" s="20" t="n"/>
      <c r="B501" s="20" t="n"/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n"/>
      <c r="L501" s="20" t="n"/>
      <c r="M501" s="20" t="n"/>
      <c r="N501" s="20" t="n"/>
    </row>
  </sheetData>
  <dataValidations count="3">
    <dataValidation sqref="G2:G5000" showDropDown="0" showInputMessage="0" showErrorMessage="0" allowBlank="0" type="list">
      <formula1>"Not Started,In Progress,In Review,Done,Blocked,Cancelled"</formula1>
    </dataValidation>
    <dataValidation sqref="F2:F5000" showDropDown="0" showInputMessage="0" showErrorMessage="0" allowBlank="0" type="list">
      <formula1>"High,Medium,Low"</formula1>
    </dataValidation>
    <dataValidation sqref="E2:E5000" showDropDown="0" showInputMessage="0" showErrorMessage="0" allowBlank="0" type="list">
      <formula1>"Frontend,Backend,Database,DevOps,Design,Architecture,QA,Documentation,Research,Other"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88888"/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8" customHeight="1">
      <c r="A1" s="22" t="inlineStr">
        <is>
          <t>HOW TO USE THIS TRACKER</t>
        </is>
      </c>
    </row>
    <row r="3" ht="42" customHeight="1">
      <c r="A3" s="23" t="inlineStr">
        <is>
          <t>1  Add Projects</t>
        </is>
      </c>
      <c r="C3" s="24" t="inlineStr">
        <is>
          <t>Go to the Projects sheet. Add each project: name, code, owner, dates, status, and priority.</t>
        </is>
      </c>
    </row>
    <row r="4" ht="42" customHeight="1">
      <c r="A4" s="23" t="inlineStr">
        <is>
          <t>2  Log Tasks</t>
        </is>
      </c>
      <c r="C4" s="24" t="inlineStr">
        <is>
          <t>Go to Tasks. For each task: assign a Task ID (e.g. WEB-001-003), select the Project, fill in name, category, priority, and status.</t>
        </is>
      </c>
    </row>
    <row r="5" ht="42" customHeight="1">
      <c r="A5" s="25" t="inlineStr">
        <is>
          <t>3  Use Dropdowns</t>
        </is>
      </c>
      <c r="C5" s="24" t="inlineStr">
        <is>
          <t>Status, Priority, and Category columns have dropdown menus. Click a cell to see the arrow and pick a value.</t>
        </is>
      </c>
    </row>
    <row r="6" ht="42" customHeight="1">
      <c r="A6" s="25" t="inlineStr">
        <is>
          <t>4  Track Progress</t>
        </is>
      </c>
      <c r="C6" s="24" t="inlineStr">
        <is>
          <t>Update Status as work progresses: Not Started → In Progress → In Review → Done.</t>
        </is>
      </c>
    </row>
    <row r="7" ht="42" customHeight="1">
      <c r="A7" s="26" t="inlineStr">
        <is>
          <t>5  Dashboard</t>
        </is>
      </c>
      <c r="C7" s="24" t="inlineStr">
        <is>
          <t>The Dashboard auto-calculates project totals, completion %, and high-priority task counts. It updates whenever you change data.</t>
        </is>
      </c>
    </row>
    <row r="8" ht="42" customHeight="1">
      <c r="A8" s="26" t="inlineStr">
        <is>
          <t>6  Task ID Convention</t>
        </is>
      </c>
      <c r="C8" s="24" t="inlineStr">
        <is>
          <t>Recommended: [PROJECT-CODE]-[###]   e.g. WEB-001-003  (project code + sequential number)</t>
        </is>
      </c>
    </row>
    <row r="9" ht="42" customHeight="1">
      <c r="A9" s="27" t="inlineStr">
        <is>
          <t>7  Dependencies</t>
        </is>
      </c>
      <c r="C9" s="24" t="inlineStr">
        <is>
          <t>In the Dependencies column list the Task IDs that must finish before this task can start.</t>
        </is>
      </c>
    </row>
  </sheetData>
  <mergeCells count="15">
    <mergeCell ref="A4:B4"/>
    <mergeCell ref="C9:F9"/>
    <mergeCell ref="C3:F3"/>
    <mergeCell ref="A7:B7"/>
    <mergeCell ref="C8:F8"/>
    <mergeCell ref="C4:F4"/>
    <mergeCell ref="A1:F1"/>
    <mergeCell ref="A5:B5"/>
    <mergeCell ref="C6:F6"/>
    <mergeCell ref="C7:F7"/>
    <mergeCell ref="A9:B9"/>
    <mergeCell ref="C5:F5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2026-04-05T07:44:19Z</dcterms:created>
  <dcterms:modified xmlns:dcterms="http://purl.org/dc/terms/" xmlns:xsi="http://www.w3.org/2001/XMLSchema-instance" xsi:type="dcterms:W3CDTF">2026-04-05T07:44:21Z</dcterms:modified>
</cp:coreProperties>
</file>